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040" windowHeight="16920" tabRatio="600" firstSheet="0" activeTab="0" autoFilterDateGrouping="1"/>
  </bookViews>
  <sheets>
    <sheet name="Cover" sheetId="1" state="visible" r:id="rId1"/>
    <sheet name="Drivers&gt;&gt;" sheetId="2" state="visible" r:id="rId2"/>
    <sheet name="FCF &amp; Valuation" sheetId="3" state="visible" r:id="rId3"/>
    <sheet name="Revenue Build" sheetId="4" state="visible" r:id="rId4"/>
    <sheet name="Costs &amp; Expenses Build" sheetId="5" state="visible" r:id="rId5"/>
    <sheet name="WACC Build" sheetId="6" state="visible" r:id="rId6"/>
    <sheet name="Comps" sheetId="7" state="visible" r:id="rId7"/>
    <sheet name="Financial Statements &gt;&gt;" sheetId="8" state="visible" r:id="rId8"/>
    <sheet name="Income Statement + Forecast" sheetId="9" state="visible" r:id="rId9"/>
    <sheet name="Cash Flow Statement" sheetId="10" state="visible" r:id="rId10"/>
    <sheet name="Balance Sheet" sheetId="11" state="visible" r:id="rId11"/>
    <sheet name="CFS" sheetId="12" state="hidden" r:id="rId12"/>
    <sheet name="IS" sheetId="13" state="hidden" r:id="rId13"/>
    <sheet name="BS" sheetId="14" state="hidden" r:id="rId14"/>
    <sheet name="Brinks Home Security" sheetId="15" state="hidden" r:id="rId15"/>
  </sheets>
  <externalReferences>
    <externalReference r:id="rId16"/>
    <externalReference r:id="rId17"/>
    <externalReference r:id="rId18"/>
  </externalReferences>
  <definedNames>
    <definedName name="AA.AlternatePriceSourceStartPeriod">"Q1-2018"</definedName>
    <definedName name="AA.ColorizerVersion">"2.0.4.0"</definedName>
    <definedName name="AA.CompareQuarters.LatestMRQ">"Q1-2019"</definedName>
    <definedName name="AA.CSIN">"3PODK70133"</definedName>
    <definedName name="AA.DBMacroVersion">"1.0.13.0"</definedName>
    <definedName name="AA.FRC.LatestRunOnModelVersion">"FY2018.20"</definedName>
    <definedName name="AA.FreeCashFlow">"TRUE"</definedName>
    <definedName name="AA.HardcodeChecker.LatestMRQ">"Q3-2019"</definedName>
    <definedName name="AA.ModelChecks.LatestMRQ">"FY2021"</definedName>
    <definedName name="AA.ModelChecks.LatestVersionNumber">"2.42.15.0"</definedName>
    <definedName name="AA.ModelColorScheme">"Classic"</definedName>
    <definedName name="AA.ModelVersion">"FY2022.26"</definedName>
    <definedName name="AA.PartialUpdate.BsAvailable">"TRUE"</definedName>
    <definedName name="AA.PartialUpdate.CfsAvailable">"TRUE"</definedName>
    <definedName name="AA.PartialUpdate.IsAvailable">"TRUE"</definedName>
    <definedName name="AA.PeriodLayout">"QFY"</definedName>
    <definedName name="AA.PersonalMacro.VersionNumber">"1.5.1.5"</definedName>
    <definedName name="AA.RowNameEnforcerVersion">"1.0.0.0"</definedName>
    <definedName name="AA.SessionToUploadId">""</definedName>
    <definedName name="AA.StartWorkModelVersion">"FY2022.23"</definedName>
    <definedName name="AA.StartWorkType">""</definedName>
    <definedName name="AA.SubyearType">"Q"</definedName>
    <definedName name="AA.TemplateUpgradeAttempted">"TRUE"</definedName>
    <definedName name="AA.TemplateVersion">"7.4.4.0"</definedName>
    <definedName name="AA.UpdateType">"Regular"</definedName>
    <definedName name="CIRC">Cover!#REF!</definedName>
    <definedName name="CIRC2">Cover!#REF!</definedName>
    <definedName name="FP.DataSourceName">'[1]Front Page'!$H$15</definedName>
    <definedName name="FP.LastPrice">'[1]Front Page'!$H$20</definedName>
    <definedName name="FP.LastPriceDate">'[1]Front Page'!$F$20</definedName>
    <definedName name="FP.RealTimeToggle">'[1]Front Page'!$H$18</definedName>
    <definedName name="HP.MRFX">#REF!</definedName>
    <definedName name="HP.ReportCurrency">#REF!</definedName>
    <definedName name="HP.Ticker">#REF!</definedName>
    <definedName name="HP.TradeCurrency">#REF!</definedName>
    <definedName name="HP.TradeCurrency.HardCoded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">'[2]Transaction Assumptions'!$J$20</definedName>
    <definedName name="MO_AN_DA">#REF!</definedName>
    <definedName name="MO_AN_EBITDA_Adj">#REF!</definedName>
    <definedName name="MO_AN_NI_NONGAAP_Diluted">#REF!</definedName>
    <definedName name="MO_AN_SBC">#REF!</definedName>
    <definedName name="MO_BS_AccComp_Current">#REF!</definedName>
    <definedName name="MO_BS_APandAE">#REF!</definedName>
    <definedName name="MO_BS_AR">#REF!</definedName>
    <definedName name="MO_BS_CA">#REF!</definedName>
    <definedName name="MO_BS_Cash">#REF!</definedName>
    <definedName name="MO_BS_CL">#REF!</definedName>
    <definedName name="MO_BS_CommonStock">#REF!</definedName>
    <definedName name="MO_BS_ContributedSurplus">#REF!</definedName>
    <definedName name="MO_BS_DefRev">#REF!</definedName>
    <definedName name="MO_BS_DefRev_Current">#REF!</definedName>
    <definedName name="MO_BS_DefRev_NonCurrent">#REF!</definedName>
    <definedName name="MO_BS_Goodwill">#REF!</definedName>
    <definedName name="MO_BS_Intangibles">#REF!</definedName>
    <definedName name="MO_BS_INV">#REF!</definedName>
    <definedName name="MO_BS_LTInvestments">#REF!</definedName>
    <definedName name="MO_BS_NCA">#REF!</definedName>
    <definedName name="MO_BS_NCI">#REF!</definedName>
    <definedName name="MO_BS_NCL">#REF!</definedName>
    <definedName name="MO_BS_OCI">#REF!</definedName>
    <definedName name="MO_BS_OL_Current">#REF!</definedName>
    <definedName name="MO_BS_OL_NonCurrent">#REF!</definedName>
    <definedName name="MO_BS_PPE">#REF!</definedName>
    <definedName name="MO_BS_RestrictedCash_Current">#REF!</definedName>
    <definedName name="MO_BS_RetainedEarnings">#REF!</definedName>
    <definedName name="MO_BS_ROU">#REF!</definedName>
    <definedName name="MO_BS_SE">#REF!</definedName>
    <definedName name="MO_BS_TA">#REF!</definedName>
    <definedName name="MO_BS_TaxAssets_Deferred_Current">#REF!</definedName>
    <definedName name="MO_BS_TaxAssets_Deferred_NonCurrent">#REF!</definedName>
    <definedName name="MO_BS_TaxLiabilities_Deferred_Current">#REF!</definedName>
    <definedName name="MO_BS_TL">#REF!</definedName>
    <definedName name="MO_BS_TLSE">#REF!</definedName>
    <definedName name="MO_BS_TreasuryStock">#REF!</definedName>
    <definedName name="MO_BSS_Cash">#REF!</definedName>
    <definedName name="MO_BSS_Debt">#REF!</definedName>
    <definedName name="MO_BSS_Debt_LT">#REF!</definedName>
    <definedName name="MO_BSS_Debt_Net">#REF!</definedName>
    <definedName name="MO_BSS_Debt_ST">#REF!</definedName>
    <definedName name="MO_BSS_Debt_ToCF">#REF!</definedName>
    <definedName name="MO_BSS_Debt_ToEBITDA">#REF!</definedName>
    <definedName name="MO_BSS_IE">#REF!</definedName>
    <definedName name="MO_BSS_IE_Net">#REF!</definedName>
    <definedName name="MO_BSS_II">#REF!</definedName>
    <definedName name="MO_BSS_InterestRate_Cash">#REF!</definedName>
    <definedName name="MO_BSS_InterestRate_Debt">#REF!</definedName>
    <definedName name="MO_BSS_NetInterestCoverage">#REF!</definedName>
    <definedName name="MO_BSS_NetInterestRate_Debt">#REF!</definedName>
    <definedName name="MO_BSS_OL">#REF!</definedName>
    <definedName name="MO_CCFS_Balance_Begin">#REF!</definedName>
    <definedName name="MO_CCFS_Balance_End">#REF!</definedName>
    <definedName name="MO_CCFS_CFF">#REF!</definedName>
    <definedName name="MO_CCFS_CFI">#REF!</definedName>
    <definedName name="MO_CCFS_CFO">#REF!</definedName>
    <definedName name="MO_CCFS_CFO_BeforeWC">#REF!</definedName>
    <definedName name="MO_CCFS_FX">#REF!</definedName>
    <definedName name="MO_CCFS_NetChange">#REF!</definedName>
    <definedName name="MO_CCFS_Sup_CashInterest">#REF!</definedName>
    <definedName name="MO_CCFS_Sup_CashTax">#REF!</definedName>
    <definedName name="MO_CFS_Balance_Begin">#REF!</definedName>
    <definedName name="MO_CFS_Balance_End">#REF!</definedName>
    <definedName name="MO_CFS_Buyback">#REF!</definedName>
    <definedName name="MO_CFS_CFF">#REF!</definedName>
    <definedName name="MO_CFS_CFI">#REF!</definedName>
    <definedName name="MO_CFS_CFO">#REF!</definedName>
    <definedName name="MO_CFS_CFO_BeforeWC">#REF!</definedName>
    <definedName name="MO_CFS_DA">#REF!</definedName>
    <definedName name="MO_CFS_DeferredTax">#REF!</definedName>
    <definedName name="MO_CFS_Dividend_Common">#REF!</definedName>
    <definedName name="MO_CFS_Dividend_Prefs">#REF!</definedName>
    <definedName name="MO_CFS_FX">#REF!</definedName>
    <definedName name="MO_CFS_Impairment">#REF!</definedName>
    <definedName name="MO_CFS_NetChange">#REF!</definedName>
    <definedName name="MO_CFS_NI">#REF!</definedName>
    <definedName name="MO_CFS_SBC">#REF!</definedName>
    <definedName name="MO_CFS_Sup_CashInterest">#REF!</definedName>
    <definedName name="MO_CFS_Sup_CashTax">#REF!</definedName>
    <definedName name="MO_CFS_WC_APandAE">#REF!</definedName>
    <definedName name="MO_CFS_WC_AR">#REF!</definedName>
    <definedName name="MO_CFS_WC_DefRev">#REF!</definedName>
    <definedName name="MO_CFS_WC_INV">#REF!</definedName>
    <definedName name="MO_CFS_WC_OL">#REF!</definedName>
    <definedName name="MO_CFSum_Acquisition">#REF!</definedName>
    <definedName name="MO_CFSum_Capex">#REF!</definedName>
    <definedName name="MO_CFSum_CFO">#REF!</definedName>
    <definedName name="MO_CFSum_CFO_BeforeWC">#REF!</definedName>
    <definedName name="MO_CFSum_CFOPS">#REF!</definedName>
    <definedName name="MO_CFSum_CFOPS_BeforeWC">#REF!</definedName>
    <definedName name="MO_CFSum_CFPS">#REF!</definedName>
    <definedName name="MO_CFSum_ChangeInWC">#REF!</definedName>
    <definedName name="MO_CFSum_Divestiture">#REF!</definedName>
    <definedName name="MO_CFSum_Dividend">#REF!</definedName>
    <definedName name="MO_CFSum_DPS">#REF!</definedName>
    <definedName name="MO_CFSum_FCF_PostDivPostAD">#REF!</definedName>
    <definedName name="MO_CFSum_FCF_PostDivPostADPostDebtPostBuyback">#REF!</definedName>
    <definedName name="MO_CFSum_FCF_PostDivPreAD">#REF!</definedName>
    <definedName name="MO_CFSum_FCF_PostWCPostDivPostAD">#REF!</definedName>
    <definedName name="MO_CFSum_FCF_PostWCPostDivPostADPostDebtPostBuyback">#REF!</definedName>
    <definedName name="MO_CFSum_FCF_PostWCPostDivPreAD">#REF!</definedName>
    <definedName name="MO_CFSum_FCF_PostWCPreDiv">#REF!</definedName>
    <definedName name="MO_CFSum_FCF_PreDiv">#REF!</definedName>
    <definedName name="MO_CFSum_NetDebtIssuance">#REF!</definedName>
    <definedName name="MO_CFSum_NetShares">#REF!</definedName>
    <definedName name="MO_CFSum_NetShares_Price">#REF!</definedName>
    <definedName name="MO_Checks_Bottom">#REF!</definedName>
    <definedName name="MO_Checks_BS">#REF!</definedName>
    <definedName name="MO_Checks_CF">#REF!</definedName>
    <definedName name="MO_Checks_IS">#REF!</definedName>
    <definedName name="MO_Common_Column_A">#REF!</definedName>
    <definedName name="MO_Common_Column_B">#REF!</definedName>
    <definedName name="MO_Common_ColumnHeader">#REF!</definedName>
    <definedName name="MO_Common_CompanySubtitle">#REF!</definedName>
    <definedName name="MO_Common_CompanyTitle">#REF!</definedName>
    <definedName name="MO_Common_FPDays">#REF!</definedName>
    <definedName name="MO_Common_QEndDate">#REF!</definedName>
    <definedName name="MO_Common_QEndDate_LWD">#REF!</definedName>
    <definedName name="MO_DAF_A">#REF!</definedName>
    <definedName name="MO_DAF_A_Percentage">#REF!</definedName>
    <definedName name="MO_DAF_Capex">#REF!</definedName>
    <definedName name="MO_DAF_D">#REF!</definedName>
    <definedName name="MO_DAF_D_Percentage">#REF!</definedName>
    <definedName name="MO_DAF_DA">#REF!</definedName>
    <definedName name="MO_DAF_Intangibles_BoP">#REF!</definedName>
    <definedName name="MO_DAF_Intangibles_Capex">#REF!</definedName>
    <definedName name="MO_DAF_Intangibles_Capex_Percent">#REF!</definedName>
    <definedName name="MO_DAF_Intangibles_EoP">#REF!</definedName>
    <definedName name="MO_DAF_Intangibles_Life">#REF!</definedName>
    <definedName name="MO_DAF_Intangibles_Other">#REF!</definedName>
    <definedName name="MO_DAF_PPE_BoP">#REF!</definedName>
    <definedName name="MO_DAF_PPE_Capex">#REF!</definedName>
    <definedName name="MO_DAF_PPE_EoP">#REF!</definedName>
    <definedName name="MO_DAF_PPE_Life">#REF!</definedName>
    <definedName name="MO_DAF_PPE_Other">#REF!</definedName>
    <definedName name="MO_GA_TotalRevenue">#REF!</definedName>
    <definedName name="MO_IS_COGS">#REF!</definedName>
    <definedName name="MO_IS_DA">#REF!</definedName>
    <definedName name="MO_IS_Dividend_Prefs">#REF!</definedName>
    <definedName name="MO_IS_EBIT">#REF!</definedName>
    <definedName name="MO_IS_EBT">#REF!</definedName>
    <definedName name="MO_IS_FirstRow">#REF!</definedName>
    <definedName name="MO_IS_GA">#REF!</definedName>
    <definedName name="MO_IS_IE">#REF!</definedName>
    <definedName name="MO_IS_II">#REF!</definedName>
    <definedName name="MO_IS_NCI">#REF!</definedName>
    <definedName name="MO_IS_NI_ContinOp">#REF!</definedName>
    <definedName name="MO_IS_OPEX">#REF!</definedName>
    <definedName name="MO_IS_RD">#REF!</definedName>
    <definedName name="MO_IS_REV">#REF!</definedName>
    <definedName name="MO_IS_SM">#REF!</definedName>
    <definedName name="MO_IS_Tax">#REF!</definedName>
    <definedName name="MO_KPI_ARR_Implied">#REF!</definedName>
    <definedName name="MO_KPI_Billings_Calc">#REF!</definedName>
    <definedName name="MO_KPI_Billings_Growth_Calc">#REF!</definedName>
    <definedName name="MO_KPI_CAC">#REF!</definedName>
    <definedName name="MO_KPI_CAC_Payback_Implied">#REF!</definedName>
    <definedName name="MO_KPI_ContributionMargin">#REF!</definedName>
    <definedName name="MO_KPI_CustomerCount_EoP">#REF!</definedName>
    <definedName name="MO_KPI_FCF">#REF!</definedName>
    <definedName name="MO_KPI_FCF_LTM">#REF!</definedName>
    <definedName name="MO_KPI_FCF_Margin">#REF!</definedName>
    <definedName name="MO_KPI_GrossRetentionRate">#REF!</definedName>
    <definedName name="MO_KPI_MagicNumber_Implied">#REF!</definedName>
    <definedName name="MO_KPI_NetNewARR_Implied">#REF!</definedName>
    <definedName name="MO_KPI_REV_LTM">#REF!</definedName>
    <definedName name="MO_KPI_REV_LTM_Growth">#REF!</definedName>
    <definedName name="MO_KPI_RuleOf40">#REF!</definedName>
    <definedName name="MO_MA_COGS_Adj">#REF!</definedName>
    <definedName name="MO_MA_EBITDA">#REF!</definedName>
    <definedName name="MO_MA_EBITDA_Adj">#REF!</definedName>
    <definedName name="MO_MA_GA">#REF!</definedName>
    <definedName name="MO_MA_GA_Adj">#REF!</definedName>
    <definedName name="MO_MA_GM">#REF!</definedName>
    <definedName name="MO_MA_GM_Adj">#REF!</definedName>
    <definedName name="MO_MA_RD">#REF!</definedName>
    <definedName name="MO_MA_RD_Adj">#REF!</definedName>
    <definedName name="MO_MA_SM">#REF!</definedName>
    <definedName name="MO_MA_SM_Adj">#REF!</definedName>
    <definedName name="MO_OS_ARR_Implied">#REF!</definedName>
    <definedName name="MO_OS_Billings_Calc">#REF!</definedName>
    <definedName name="MO_OS_Billings_Growth_Calc">#REF!</definedName>
    <definedName name="MO_OS_CAC">#REF!</definedName>
    <definedName name="MO_OS_CAC_Payback_Implied">#REF!</definedName>
    <definedName name="MO_OS_COGS_SubscriptionandLicense">#REF!</definedName>
    <definedName name="MO_OS_ContributionMargin">#REF!</definedName>
    <definedName name="MO_OS_CustomerCount_EoP">#REF!</definedName>
    <definedName name="MO_OS_EmployeeCount">#REF!</definedName>
    <definedName name="MO_OS_FCF">#REF!</definedName>
    <definedName name="MO_OS_FCF_LTM">#REF!</definedName>
    <definedName name="MO_OS_FCF_Margin">#REF!</definedName>
    <definedName name="MO_OS_GP_SubscriptionandLicense">#REF!</definedName>
    <definedName name="MO_OS_GrossRetentionRate">#REF!</definedName>
    <definedName name="MO_OS_MagicNumber_Implied">#REF!</definedName>
    <definedName name="MO_OS_NetNewARR_Implied">#REF!</definedName>
    <definedName name="MO_OS_REV_LTM">#REF!</definedName>
    <definedName name="MO_OS_REV_LTM_Growth">#REF!</definedName>
    <definedName name="MO_OS_RuleOf40">#REF!</definedName>
    <definedName name="MO_RIS_Adjustments_Dilution_GAAP">#REF!</definedName>
    <definedName name="MO_RIS_Adjustments_Dilution_NONGAAP">#REF!</definedName>
    <definedName name="MO_RIS_Adjustments_NONGAAP">#REF!</definedName>
    <definedName name="MO_RIS_COGS">#REF!</definedName>
    <definedName name="MO_RIS_DA">#REF!</definedName>
    <definedName name="MO_RIS_DAintangibles">#REF!</definedName>
    <definedName name="MO_RIS_DisCont">#REF!</definedName>
    <definedName name="MO_RIS_Dividend_Prefs">#REF!</definedName>
    <definedName name="MO_RIS_EBIT">#REF!</definedName>
    <definedName name="MO_RIS_EBITDA">#REF!</definedName>
    <definedName name="MO_RIS_EBITDA_Adj">#REF!</definedName>
    <definedName name="MO_RIS_EBT">#REF!</definedName>
    <definedName name="MO_RIS_EPS_WAB">#REF!</definedName>
    <definedName name="MO_RIS_EPS_WAD">#REF!</definedName>
    <definedName name="MO_RIS_EPS_WAD_Adj">#REF!</definedName>
    <definedName name="MO_RIS_GA">#REF!</definedName>
    <definedName name="MO_RIS_GP">#REF!</definedName>
    <definedName name="MO_RIS_IE">#REF!</definedName>
    <definedName name="MO_RIS_II">#REF!</definedName>
    <definedName name="MO_RIS_NCI">#REF!</definedName>
    <definedName name="MO_RIS_NI_ContinOp">#REF!</definedName>
    <definedName name="MO_RIS_NI_GAAP_Basic">#REF!</definedName>
    <definedName name="MO_RIS_NI_GAAP_Diluted">#REF!</definedName>
    <definedName name="MO_RIS_NI_NONGAAP_Diluted">#REF!</definedName>
    <definedName name="MO_RIS_OI">#REF!</definedName>
    <definedName name="MO_RIS_OTI">#REF!</definedName>
    <definedName name="MO_RIS_RD">#REF!</definedName>
    <definedName name="MO_RIS_REV">#REF!</definedName>
    <definedName name="MO_RIS_SBC">#REF!</definedName>
    <definedName name="MO_RIS_ShareCount_WAB">#REF!</definedName>
    <definedName name="MO_RIS_ShareCount_WAD">#REF!</definedName>
    <definedName name="MO_RIS_ShareCount_WAD_Adj">#REF!</definedName>
    <definedName name="MO_RIS_SM">#REF!</definedName>
    <definedName name="MO_RIS_Tax_Current">#REF!</definedName>
    <definedName name="MO_RIS_Tax_Deferred">#REF!</definedName>
    <definedName name="MO_RIS_TaxRate_Current">#REF!</definedName>
    <definedName name="MO_RIS_TaxRate_Deferred">#REF!</definedName>
    <definedName name="MO_SCA_Date_CoverPage">#REF!</definedName>
    <definedName name="MO_SCA_ShareCount_CoverPage">#REF!</definedName>
    <definedName name="MO_SCA_ShareCount_CoverPage_Class1">#REF!</definedName>
    <definedName name="MO_SCA_ShareCount_CoverPage_Ticker1">#REF!</definedName>
    <definedName name="MO_SCA_ShareCount_EoP">#REF!</definedName>
    <definedName name="MO_SCA_ShareCount_EoP_Class1">#REF!</definedName>
    <definedName name="MO_SCA_ShareCount_EoP_Ticker1">#REF!</definedName>
    <definedName name="MO_Section_AdjustedNumbers">#REF!</definedName>
    <definedName name="MO_Section_BalanceSheet">#REF!</definedName>
    <definedName name="MO_Section_BalanceSheetSummary">#REF!</definedName>
    <definedName name="MO_Section_CashFlowStatement">#REF!</definedName>
    <definedName name="MO_Section_CashFlowSummary">#REF!</definedName>
    <definedName name="MO_Section_CumulativeCashFlowStatement">#REF!</definedName>
    <definedName name="MO_Section_DAForecasting">#REF!</definedName>
    <definedName name="MO_Section_GrowthAnalysis">#REF!</definedName>
    <definedName name="MO_Section_IncomeStatement">#REF!</definedName>
    <definedName name="MO_Section_KeyMetricsEmployeeCountsFS">#REF!</definedName>
    <definedName name="MO_Section_KeyMetricsMajorCustomerswithRevenuesFS">#REF!</definedName>
    <definedName name="MO_Section_KeyMetricsRenewalRateMDA">#REF!</definedName>
    <definedName name="MO_Section_KeyMetricsSaaSMetrics">#REF!</definedName>
    <definedName name="MO_Section_KeyMetricsSubscribersandARPUIP">#REF!</definedName>
    <definedName name="MO_Section_KeyMetricsYYCostGranularity">#REF!</definedName>
    <definedName name="MO_Section_LastRow">#REF!</definedName>
    <definedName name="MO_Section_MarginAnalysis">#REF!</definedName>
    <definedName name="MO_Section_ModelChecks">#REF!</definedName>
    <definedName name="MO_Section_RevisedIncomeStatement">#REF!</definedName>
    <definedName name="MO_Section_SegmentedResultsCostsBreakdownMDA">#REF!</definedName>
    <definedName name="MO_Section_SegmentedResultsRevenueBreakdownfromReportableSegmentsMDA">#REF!</definedName>
    <definedName name="MO_Section_SegmentedResultsRevenueBreakdownMDA">#REF!</definedName>
    <definedName name="MO_Section_ShareCountAnalysis">#REF!</definedName>
    <definedName name="MO_Section_Tables">#REF!</definedName>
    <definedName name="MO_Section_Valuation">#REF!</definedName>
    <definedName name="MO_Section_WorkingCapitalForecasting">#REF!</definedName>
    <definedName name="MO_SNA_ConsensusEstimatePeriodNumber">#REF!</definedName>
    <definedName name="MO_SNA_ConsensusEstimatePeriodType">#REF!</definedName>
    <definedName name="MO_SNA_FPStartDate">#REF!</definedName>
    <definedName name="MO_SNA_IsHistoricalPeriod">#REF!</definedName>
    <definedName name="MO_SNA_LastDataRow">#REF!</definedName>
    <definedName name="MO_SPT_FXAverage">#REF!</definedName>
    <definedName name="MO_SPT_FXAverage_Sources">#REF!</definedName>
    <definedName name="MO_SPT_FXAverage_Sources_Bloomberg">#REF!</definedName>
    <definedName name="MO_SPT_FXAverage_Sources_CapIQ">#REF!</definedName>
    <definedName name="MO_SPT_FXAverage_Sources_FactSet">#REF!</definedName>
    <definedName name="MO_SPT_FXAverage_Sources_RealTimeOff">#REF!</definedName>
    <definedName name="MO_SPT_FXAverage_Sources_Thomson">#REF!</definedName>
    <definedName name="MO_SPT_FXEoP">#REF!</definedName>
    <definedName name="MO_SPT_StockAverage">#REF!</definedName>
    <definedName name="MO_SPT_StockAverage_Sources">#REF!</definedName>
    <definedName name="MO_SPT_StockAverage_Sources_Bloomberg">#REF!</definedName>
    <definedName name="MO_SPT_StockAverage_Sources_CapIQ">#REF!</definedName>
    <definedName name="MO_SPT_StockAverage_Sources_FactSet">#REF!</definedName>
    <definedName name="MO_SPT_StockAverage_Sources_RealTimeOff">#REF!</definedName>
    <definedName name="MO_SPT_StockAverage_Sources_Thomson">#REF!</definedName>
    <definedName name="MO_SPT_StockEoP">#REF!</definedName>
    <definedName name="MO_SPT_StockHigh">#REF!</definedName>
    <definedName name="MO_SPT_StockHigh_Sources">#REF!</definedName>
    <definedName name="MO_SPT_StockHigh_Sources_Bloomberg">#REF!</definedName>
    <definedName name="MO_SPT_StockHigh_Sources_CapIQ">#REF!</definedName>
    <definedName name="MO_SPT_StockHigh_Sources_FactSet">#REF!</definedName>
    <definedName name="MO_SPT_StockHigh_Sources_RealTimeOff">#REF!</definedName>
    <definedName name="MO_SPT_StockHigh_Sources_Thomson">#REF!</definedName>
    <definedName name="MO_SPT_StockLow">#REF!</definedName>
    <definedName name="MO_SPT_StockLow_Sources">#REF!</definedName>
    <definedName name="MO_SPT_StockLow_Sources_Bloomberg">#REF!</definedName>
    <definedName name="MO_SPT_StockLow_Sources_CapIQ">#REF!</definedName>
    <definedName name="MO_SPT_StockLow_Sources_FactSet">#REF!</definedName>
    <definedName name="MO_SPT_StockLow_Sources_RealTimeOff">#REF!</definedName>
    <definedName name="MO_SPT_StockLow_Sources_Thomson">#REF!</definedName>
    <definedName name="MO_SubSection_BS_CA">#REF!</definedName>
    <definedName name="MO_SubSection_BS_CL">#REF!</definedName>
    <definedName name="MO_SubSection_BS_NCA">#REF!</definedName>
    <definedName name="MO_SubSection_BS_NCL">#REF!</definedName>
    <definedName name="MO_SubSection_BS_SE">#REF!</definedName>
    <definedName name="MO_SubSection_CCFS_CFF">#REF!</definedName>
    <definedName name="MO_SubSection_CCFS_CFI">#REF!</definedName>
    <definedName name="MO_SubSection_CCFS_CFO">#REF!</definedName>
    <definedName name="MO_SubSection_CFS_CFF">#REF!</definedName>
    <definedName name="MO_SubSection_CFS_CFI">#REF!</definedName>
    <definedName name="MO_SubSection_CFS_CFO">#REF!</definedName>
    <definedName name="MO_VA_EV">#REF!</definedName>
    <definedName name="MO_VA_EV_ToEBITDA">#REF!</definedName>
    <definedName name="MO_VA_EVCalc_NCI">#REF!</definedName>
    <definedName name="MO_VA_EVCalc_Other">#REF!</definedName>
    <definedName name="MO_VA_EVCalc_Prefs">#REF!</definedName>
    <definedName name="MO_VA_FCFYield_ToEV">#REF!</definedName>
    <definedName name="MO_VA_FCFYield_ToMktCap">#REF!</definedName>
    <definedName name="MO_VA_FX_Average">#REF!</definedName>
    <definedName name="MO_VA_FX_EoP">#REF!</definedName>
    <definedName name="MO_VA_MarketCap">#REF!</definedName>
    <definedName name="MO_VA_P_ToCF">#REF!</definedName>
    <definedName name="MO_VA_P_ToE">#REF!</definedName>
    <definedName name="MO_VA_StockPrice">#REF!</definedName>
    <definedName name="MO_VA_StockPrice_Avg">#REF!</definedName>
    <definedName name="MO_VA_StockPrice_EoP">#REF!</definedName>
    <definedName name="MO_VA_StockPrice_High">#REF!</definedName>
    <definedName name="MO_VA_StockPrice_Low">#REF!</definedName>
    <definedName name="MO_VA_StockPrice_TradingCurrency">#REF!</definedName>
    <definedName name="MO_WCF_AP_Margin">#REF!</definedName>
    <definedName name="MO_WCF_AP_Margin_Change">#REF!</definedName>
    <definedName name="MO_WCF_AR_Margin">#REF!</definedName>
    <definedName name="MO_WCF_AR_Margin_Change">#REF!</definedName>
    <definedName name="MO.CFY">#REF!</definedName>
    <definedName name="MO.CompanyName">#REF!</definedName>
    <definedName name="MO.DataSourceIndex">#REF!</definedName>
    <definedName name="MO.DataSourceName">#REF!</definedName>
    <definedName name="MO.FirstForecastedFiscalYear">#REF!</definedName>
    <definedName name="MO.LastPrice">#REF!</definedName>
    <definedName name="MO.LastPriceDate">#REF!</definedName>
    <definedName name="MO.LastPriceFormula">#REF!</definedName>
    <definedName name="MO.LastPriceHardcoded">#REF!</definedName>
    <definedName name="MO.MRFP">#REF!</definedName>
    <definedName name="MO.MRFPColumnNumber">#REF!</definedName>
    <definedName name="MO.MRFX.Hardcoded">#REF!</definedName>
    <definedName name="MO.RealTime">#REF!</definedName>
    <definedName name="MO.RealTimeStockPriceToggle">#REF!</definedName>
    <definedName name="MO.ReportCurrency">#REF!</definedName>
    <definedName name="MO.ReportFX">#REF!</definedName>
    <definedName name="MO.Ticker">#REF!</definedName>
    <definedName name="MO.Ticker.Bloomberg">#REF!</definedName>
    <definedName name="MO.Ticker.Canalyst">#REF!</definedName>
    <definedName name="MO.Ticker.CapIQ">#REF!</definedName>
    <definedName name="MO.Ticker.FactSet">#REF!</definedName>
    <definedName name="MO.Ticker.Thomson">#REF!</definedName>
    <definedName name="MO.TradingCurrency">#REF!</definedName>
    <definedName name="MO.ValuationToggle">#REF!</definedName>
    <definedName name="SP_BSR_CashFlow_LTM">'[1]Summary Page'!$95:$95</definedName>
    <definedName name="SP_BSR_CL_Avg">'[1]Summary Page'!$115:$115</definedName>
    <definedName name="SP_BSR_Debt_Avg">'[1]Summary Page'!$109:$109</definedName>
    <definedName name="SP_BSR_EBITDA_LTM">'[1]Summary Page'!$94:$94</definedName>
    <definedName name="SP_BSR_SE_Avg">'[1]Summary Page'!$101:$101</definedName>
    <definedName name="SP_BSR_TA_Avg">'[1]Summary Page'!$106:$106</definedName>
    <definedName name="SP_CFA_CFO">'[1]Summary Page'!$72:$72</definedName>
    <definedName name="SP_CFA_CFO_PerShare">'[1]Summary Page'!$84:$84</definedName>
    <definedName name="SP_CFA_FCF_PreDiv">'[1]Summary Page'!$74:$74</definedName>
    <definedName name="SP_CFA_NetChange">'[1]Summary Page'!$82:$82</definedName>
    <definedName name="SP_CS_Cash">'[1]Summary Page'!$7:$7</definedName>
    <definedName name="SP_CS_Debt">'[1]Summary Page'!$8:$8</definedName>
    <definedName name="SP_CS_EV">'[1]Summary Page'!$11:$11</definedName>
    <definedName name="SP_CS_EVCalc_Other">'[1]Summary Page'!$10:$10</definedName>
    <definedName name="SP_CS_MarketCap">'[1]Summary Page'!$6:$6</definedName>
    <definedName name="SP_CS_OL">'[1]Summary Page'!$9:$9</definedName>
    <definedName name="SP_CS_ShareCount">'[1]Summary Page'!$5:$5</definedName>
    <definedName name="SP_CS_StockPrice">'[1]Summary Page'!$4:$4</definedName>
    <definedName name="SP_GF_COGS">'[1]Summary Page'!$38:$38</definedName>
    <definedName name="SP_GF_DA_operating">'[1]Summary Page'!$44:$44</definedName>
    <definedName name="SP_GF_DAintangibles">'[1]Summary Page'!$45:$45</definedName>
    <definedName name="SP_GF_DisCont">'[1]Summary Page'!$50:$50</definedName>
    <definedName name="SP_GF_Div_Prefs">'[1]Summary Page'!$52:$52</definedName>
    <definedName name="SP_GF_EBITDA">'[1]Summary Page'!$42:$42</definedName>
    <definedName name="SP_GF_EBT">'[1]Summary Page'!$48:$48</definedName>
    <definedName name="SP_GF_GA">'[1]Summary Page'!$40:$40</definedName>
    <definedName name="SP_GF_IE">'[1]Summary Page'!$46:$46</definedName>
    <definedName name="SP_GF_NCI">'[1]Summary Page'!$51:$51</definedName>
    <definedName name="SP_GF_NI">'[1]Summary Page'!$53:$53</definedName>
    <definedName name="SP_GF_OI">'[1]Summary Page'!$47:$47</definedName>
    <definedName name="SP_GF_RD">'[1]Summary Page'!$41:$41</definedName>
    <definedName name="SP_GF_Rev">'[1]Summary Page'!$37:$37</definedName>
    <definedName name="SP_GF_SBC">'[1]Summary Page'!$43:$43</definedName>
    <definedName name="SP_GF_SM">'[1]Summary Page'!$39:$39</definedName>
    <definedName name="SP_GF_Tax">'[1]Summary Page'!$49:$49</definedName>
    <definedName name="SP_NGF_EBITDA">'[1]Summary Page'!$57:$57</definedName>
    <definedName name="SP_NGF_EPS">'[1]Summary Page'!$59:$59</definedName>
    <definedName name="SP_NGF_NI">'[1]Summary Page'!$58:$58</definedName>
    <definedName name="SP.ValuationToggle">'[1]Summary Page'!$B$4</definedName>
    <definedName name="tb_ConsensusEstimate">#REF!</definedName>
    <definedName name="tb_EntireModel">#REF!</definedName>
    <definedName name="tb_KeyOutputs">#REF!</definedName>
    <definedName name="tb_StockPrice">#REF!</definedName>
    <definedName name="tb_Tickers">#REF!</definedName>
    <definedName name="tb_ValuationToggle">#REF!</definedName>
    <definedName name="UL.MRQ">'[1]Update Log'!$F$7</definedName>
    <definedName name="X">[3]Cover!$G$11</definedName>
    <definedName name="z_3PODK70133_MO_AN_Acquisitionrelatedexpense">#REF!</definedName>
    <definedName name="z_3PODK70133_MO_AN_Acquisitionrelatedexpense_1">#REF!</definedName>
    <definedName name="z_3PODK70133_MO_AN_adjustedebitda">#REF!</definedName>
    <definedName name="z_3PODK70133_MO_AN_amortizationanddepreciationexpense">#REF!</definedName>
    <definedName name="z_3PODK70133_MO_AN_amortizationexpense">#REF!</definedName>
    <definedName name="z_3PODK70133_MO_AN_Amortizationofdebtdiscountanddebtissuancecosts">#REF!</definedName>
    <definedName name="z_3PODK70133_MO_AN_Amortizationofintangibles">#REF!</definedName>
    <definedName name="z_3PODK70133_MO_AN_DAofPPE">#REF!</definedName>
    <definedName name="z_3PODK70133_MO_AN_Dividendspaidtoparticipatingsecurities">#REF!</definedName>
    <definedName name="z_3PODK70133_MO_AN_generalandadministrativesbc">#REF!</definedName>
    <definedName name="z_3PODK70133_MO_AN_goodwillandintangibleassetimpairment">#REF!</definedName>
    <definedName name="z_3PODK70133_MO_AN_goodwillandintangibleassetimpairment_1">#REF!</definedName>
    <definedName name="z_3PODK70133_MO_AN_incometax">#REF!</definedName>
    <definedName name="z_3PODK70133_MO_AN_incometaxes">#REF!</definedName>
    <definedName name="z_3PODK70133_MO_AN_incometaxexpense">#REF!</definedName>
    <definedName name="z_3PODK70133_MO_AN_Interestexpenseandotherincomeexpense">#REF!</definedName>
    <definedName name="z_3PODK70133_MO_AN_Interestexpensenetoftaxattributabletoconvertibleseniornotes">#REF!</definedName>
    <definedName name="z_3PODK70133_MO_AN_Interestexpenseotherexpenseincome">#REF!</definedName>
    <definedName name="z_3PODK70133_MO_AN_lessincomeallocatedtoparticipatingsecurities">#REF!</definedName>
    <definedName name="z_3PODK70133_MO_AN_litigationexpense">#REF!</definedName>
    <definedName name="z_3PODK70133_MO_AN_litigationexpense_1">#REF!</definedName>
    <definedName name="z_3PODK70133_MO_AN_netincome">#REF!</definedName>
    <definedName name="z_3PODK70133_MO_AN_netincomeattributabletocommonstockholders">#REF!</definedName>
    <definedName name="z_3PODK70133_MO_AN_Netincomeattributabletocommonstockholders_2">#REF!</definedName>
    <definedName name="z_3PODK70133_MO_AN_netincomeattributabletocommonstockholdersbeforetaxes">#REF!</definedName>
    <definedName name="z_3PODK70133_MO_AN_Netincomeattributabletocommonstockholdersdiluted">#REF!</definedName>
    <definedName name="z_3PODK70133_MO_AN_nongaapadjustednetincomeattributabletocommonstockholders">#REF!</definedName>
    <definedName name="z_3PODK70133_MO_AN_OtherDA">#REF!</definedName>
    <definedName name="z_3PODK70133_MO_AN_Otherexpenseincome">#REF!</definedName>
    <definedName name="z_3PODK70133_MO_AN_Releaseofacquisitionrelatedcontingentliability">#REF!</definedName>
    <definedName name="z_3PODK70133_MO_AN_Releaseofacquisitionrelatedcontingentliability_1">#REF!</definedName>
    <definedName name="z_3PODK70133_MO_AN_researchanddevelopmentsbc">#REF!</definedName>
    <definedName name="z_3PODK70133_MO_AN_salesandmarketingsbc">#REF!</definedName>
    <definedName name="z_3PODK70133_MO_AN_Secondaryofferingexpense">#REF!</definedName>
    <definedName name="z_3PODK70133_MO_AN_Secondaryofferingexpense_1">#REF!</definedName>
    <definedName name="z_3PODK70133_MO_AN_stockbasedcompensationexpense">#REF!</definedName>
    <definedName name="z_3PODK70133_MO_AN_stockbasedcompensationexpense_1">#REF!</definedName>
    <definedName name="z_3PODK70133_MO_AN_TotalDA">#REF!</definedName>
    <definedName name="z_3PODK70133_MO_AN_totalstockbasedcompensationexpense">#REF!</definedName>
    <definedName name="z_3PODK70133_MO_BlankRow_AN">#REF!</definedName>
    <definedName name="z_3PODK70133_MO_BlankRow_AN_1">#REF!</definedName>
    <definedName name="z_3PODK70133_MO_BlankRow_AN_2">#REF!</definedName>
    <definedName name="z_3PODK70133_MO_BlankRow_AN_3">#REF!</definedName>
    <definedName name="z_3PODK70133_MO_BlankRow_AN_4">#REF!</definedName>
    <definedName name="z_3PODK70133_MO_BlankRow_BS_1">#REF!</definedName>
    <definedName name="z_3PODK70133_MO_BlankRow_BS_2">#REF!</definedName>
    <definedName name="z_3PODK70133_MO_BlankRow_BS_3">#REF!</definedName>
    <definedName name="z_3PODK70133_MO_BlankRow_BS_4">#REF!</definedName>
    <definedName name="z_3PODK70133_MO_BlankRow_BS_5">#REF!</definedName>
    <definedName name="z_3PODK70133_MO_BlankRow_BS_6">#REF!</definedName>
    <definedName name="z_3PODK70133_MO_BlankRow_BSS">#REF!</definedName>
    <definedName name="z_3PODK70133_MO_BlankRow_BSS_1">#REF!</definedName>
    <definedName name="z_3PODK70133_MO_BlankRow_BSS_2">#REF!</definedName>
    <definedName name="z_3PODK70133_MO_BlankRow_CCFS">#REF!</definedName>
    <definedName name="z_3PODK70133_MO_BlankRow_CCFS_1">#REF!</definedName>
    <definedName name="z_3PODK70133_MO_BlankRow_CCFS_2">#REF!</definedName>
    <definedName name="z_3PODK70133_MO_BlankRow_CCFS_3">#REF!</definedName>
    <definedName name="z_3PODK70133_MO_BlankRow_CCFS_4">#REF!</definedName>
    <definedName name="z_3PODK70133_MO_BlankRow_CCFS_5">#REF!</definedName>
    <definedName name="z_3PODK70133_MO_BlankRow_CFS_2">#REF!</definedName>
    <definedName name="z_3PODK70133_MO_BlankRow_CFS_3">#REF!</definedName>
    <definedName name="z_3PODK70133_MO_BlankRow_CFS_4">#REF!</definedName>
    <definedName name="z_3PODK70133_MO_BlankRow_CFS_5">#REF!</definedName>
    <definedName name="z_3PODK70133_MO_BlankRow_CFS_6">#REF!</definedName>
    <definedName name="z_3PODK70133_MO_BlankRow_CFS_7">#REF!</definedName>
    <definedName name="z_3PODK70133_MO_BlankRow_CFS_9">#REF!</definedName>
    <definedName name="z_3PODK70133_MO_BlankRow_CFSum">#REF!</definedName>
    <definedName name="z_3PODK70133_MO_BlankRow_CFSum_1">#REF!</definedName>
    <definedName name="z_3PODK70133_MO_BlankRow_CFSum_2">#REF!</definedName>
    <definedName name="z_3PODK70133_MO_BlankRow_DAF">#REF!</definedName>
    <definedName name="z_3PODK70133_MO_BlankRow_DAF_1">#REF!</definedName>
    <definedName name="z_3PODK70133_MO_BlankRow_DAF_2">#REF!</definedName>
    <definedName name="z_3PODK70133_MO_BlankRow_DAF_3">#REF!</definedName>
    <definedName name="z_3PODK70133_MO_BlankRow_GA">#REF!</definedName>
    <definedName name="z_3PODK70133_MO_BlankRow_GA_1">#REF!</definedName>
    <definedName name="z_3PODK70133_MO_BlankRow_IS">#REF!</definedName>
    <definedName name="z_3PODK70133_MO_BlankRow_IS_1">#REF!</definedName>
    <definedName name="z_3PODK70133_MO_BlankRow_MA">#REF!</definedName>
    <definedName name="z_3PODK70133_MO_BlankRow_MA_1">#REF!</definedName>
    <definedName name="z_3PODK70133_MO_BlankRow_MA_2">#REF!</definedName>
    <definedName name="z_3PODK70133_MO_BlankRow_MA_3">#REF!</definedName>
    <definedName name="z_3PODK70133_MO_BlankRow_MA_4">#REF!</definedName>
    <definedName name="z_3PODK70133_MO_BlankRow_MA_5">#REF!</definedName>
    <definedName name="z_3PODK70133_MO_BlankRow_OS">#REF!</definedName>
    <definedName name="z_3PODK70133_MO_BlankRow_OS_1">#REF!</definedName>
    <definedName name="z_3PODK70133_MO_BlankRow_OS_10">#REF!</definedName>
    <definedName name="z_3PODK70133_MO_BlankRow_OS_11">#REF!</definedName>
    <definedName name="z_3PODK70133_MO_BlankRow_OS_12">#REF!</definedName>
    <definedName name="z_3PODK70133_MO_BlankRow_OS_13">#REF!</definedName>
    <definedName name="z_3PODK70133_MO_BlankRow_OS_14">#REF!</definedName>
    <definedName name="z_3PODK70133_MO_BlankRow_OS_15">#REF!</definedName>
    <definedName name="z_3PODK70133_MO_BlankRow_OS_16">#REF!</definedName>
    <definedName name="z_3PODK70133_MO_BlankRow_OS_17">#REF!</definedName>
    <definedName name="z_3PODK70133_MO_BlankRow_OS_18">#REF!</definedName>
    <definedName name="z_3PODK70133_MO_BlankRow_OS_19">#REF!</definedName>
    <definedName name="z_3PODK70133_MO_BlankRow_OS_2">#REF!</definedName>
    <definedName name="z_3PODK70133_MO_BlankRow_OS_20">#REF!</definedName>
    <definedName name="z_3PODK70133_MO_BlankRow_OS_21">#REF!</definedName>
    <definedName name="z_3PODK70133_MO_BlankRow_OS_22">#REF!</definedName>
    <definedName name="z_3PODK70133_MO_BlankRow_OS_23">#REF!</definedName>
    <definedName name="z_3PODK70133_MO_BlankRow_OS_24">#REF!</definedName>
    <definedName name="z_3PODK70133_MO_BlankRow_OS_25">#REF!</definedName>
    <definedName name="z_3PODK70133_MO_BlankRow_OS_26">#REF!</definedName>
    <definedName name="z_3PODK70133_MO_BlankRow_OS_3">#REF!</definedName>
    <definedName name="z_3PODK70133_MO_BlankRow_OS_4">#REF!</definedName>
    <definedName name="z_3PODK70133_MO_BlankRow_OS_6">#REF!</definedName>
    <definedName name="z_3PODK70133_MO_BlankRow_OS_7">#REF!</definedName>
    <definedName name="z_3PODK70133_MO_BlankRow_OS_8">#REF!</definedName>
    <definedName name="z_3PODK70133_MO_BlankRow_OS_9">#REF!</definedName>
    <definedName name="z_3PODK70133_MO_BlankRow_RIS">#REF!</definedName>
    <definedName name="z_3PODK70133_MO_BlankRow_RIS_1">#REF!</definedName>
    <definedName name="z_3PODK70133_MO_BlankRow_RIS_2">#REF!</definedName>
    <definedName name="z_3PODK70133_MO_BlankRow_RIS_3">#REF!</definedName>
    <definedName name="z_3PODK70133_MO_BlankRow_RIS_4">#REF!</definedName>
    <definedName name="z_3PODK70133_MO_BlankRow_RIS_5">#REF!</definedName>
    <definedName name="z_3PODK70133_MO_BlankRow_RIS_6">#REF!</definedName>
    <definedName name="z_3PODK70133_MO_BlankRow_RIS_7">#REF!</definedName>
    <definedName name="z_3PODK70133_MO_BlankRow_RIS_8">#REF!</definedName>
    <definedName name="z_3PODK70133_MO_BlankRow_SNA">#REF!</definedName>
    <definedName name="z_3PODK70133_MO_BlankRow_SNA_1">#REF!</definedName>
    <definedName name="z_3PODK70133_MO_BlankRow_SNA_10">#REF!</definedName>
    <definedName name="z_3PODK70133_MO_BlankRow_SNA_11">#REF!</definedName>
    <definedName name="z_3PODK70133_MO_BlankRow_SNA_12">#REF!</definedName>
    <definedName name="z_3PODK70133_MO_BlankRow_SNA_13">#REF!</definedName>
    <definedName name="z_3PODK70133_MO_BlankRow_SNA_14">#REF!</definedName>
    <definedName name="z_3PODK70133_MO_BlankRow_SNA_2">#REF!</definedName>
    <definedName name="z_3PODK70133_MO_BlankRow_SNA_3">#REF!</definedName>
    <definedName name="z_3PODK70133_MO_BlankRow_SNA_4">#REF!</definedName>
    <definedName name="z_3PODK70133_MO_BlankRow_SNA_5">#REF!</definedName>
    <definedName name="z_3PODK70133_MO_BlankRow_SNA_6">#REF!</definedName>
    <definedName name="z_3PODK70133_MO_BlankRow_SNA_7">#REF!</definedName>
    <definedName name="z_3PODK70133_MO_BlankRow_SNA_8">#REF!</definedName>
    <definedName name="z_3PODK70133_MO_BlankRow_SNA_9">#REF!</definedName>
    <definedName name="z_3PODK70133_MO_BS_Accountspayable">#REF!</definedName>
    <definedName name="z_3PODK70133_MO_BS_Accountsreceivable">#REF!</definedName>
    <definedName name="z_3PODK70133_MO_BS_accruedcompensation">#REF!</definedName>
    <definedName name="z_3PODK70133_MO_BS_accumulateddeficit">#REF!</definedName>
    <definedName name="z_3PODK70133_MO_BS_Accumulatedothercomprehensiveincome">#REF!</definedName>
    <definedName name="z_3PODK70133_MO_BS_additionalpaidincapital">#REF!</definedName>
    <definedName name="z_3PODK70133_MO_BS_BSCheck">#REF!</definedName>
    <definedName name="z_3PODK70133_MO_BS_cashandcashequivalents">#REF!</definedName>
    <definedName name="z_3PODK70133_MO_BS_commonstock">#REF!</definedName>
    <definedName name="z_3PODK70133_MO_BS_Convertibleseniornotes">#REF!</definedName>
    <definedName name="z_3PODK70133_MO_BS_CurrentAssets">#REF!</definedName>
    <definedName name="z_3PODK70133_MO_BS_CurrentLiabilities">#REF!</definedName>
    <definedName name="z_3PODK70133_MO_BS_deferredrevenue">#REF!</definedName>
    <definedName name="z_3PODK70133_MO_BS_deferredrevenue_1">#REF!</definedName>
    <definedName name="z_3PODK70133_MO_BS_deferredtaxassets">#REF!</definedName>
    <definedName name="z_3PODK70133_MO_BS_deferredtaxassets_1">#REF!</definedName>
    <definedName name="z_3PODK70133_MO_BS_deferredtaxliability">#REF!</definedName>
    <definedName name="z_3PODK70133_MO_BS_Goodwill">#REF!</definedName>
    <definedName name="z_3PODK70133_MO_BS_Intangibleassets">#REF!</definedName>
    <definedName name="z_3PODK70133_MO_BS_Inventory">#REF!</definedName>
    <definedName name="z_3PODK70133_MO_BS_Longtermdebt">#REF!</definedName>
    <definedName name="z_3PODK70133_MO_BS_marketablesecurities">#REF!</definedName>
    <definedName name="z_3PODK70133_MO_BS_NCI">#REF!</definedName>
    <definedName name="z_3PODK70133_MO_BS_NetIncomeonReportedISNIonRevised">#REF!</definedName>
    <definedName name="z_3PODK70133_MO_BS_NetIncomeonRevisedISNIonCFstatement">#REF!</definedName>
    <definedName name="z_3PODK70133_MO_BS_NonCurrentAssets">#REF!</definedName>
    <definedName name="z_3PODK70133_MO_BS_NonCurrentLiabilities">#REF!</definedName>
    <definedName name="z_3PODK70133_MO_BS_Operatingleaseliabilities">#REF!</definedName>
    <definedName name="z_3PODK70133_MO_BS_Operatingleaseliabilities_1">#REF!</definedName>
    <definedName name="z_3PODK70133_MO_BS_Operatingleaserightofuseassets">#REF!</definedName>
    <definedName name="z_3PODK70133_MO_BS_Otherassets">#REF!</definedName>
    <definedName name="z_3PODK70133_MO_BS_Othercurrentassets">#REF!</definedName>
    <definedName name="z_3PODK70133_MO_BS_Otherliabilities">#REF!</definedName>
    <definedName name="z_3PODK70133_MO_BS_preferredstock">#REF!</definedName>
    <definedName name="z_3PODK70133_MO_BS_Propertyandequipment">#REF!</definedName>
    <definedName name="z_3PODK70133_MO_BS_redeemableconvertiblepreferredstock">#REF!</definedName>
    <definedName name="z_3PODK70133_MO_BS_Redeemablenoncontrollinginterest">#REF!</definedName>
    <definedName name="z_3PODK70133_MO_BS_Restrictedcash">#REF!</definedName>
    <definedName name="z_3PODK70133_MO_BS_ShareholdersEquity">#REF!</definedName>
    <definedName name="z_3PODK70133_MO_BS_TotalAssets">#REF!</definedName>
    <definedName name="z_3PODK70133_MO_BS_TotalCurrentAssets">#REF!</definedName>
    <definedName name="z_3PODK70133_MO_BS_TotalCurrentLiabilities">#REF!</definedName>
    <definedName name="z_3PODK70133_MO_BS_TotalLiabilities">#REF!</definedName>
    <definedName name="z_3PODK70133_MO_BS_TotalLiabilitiesSE">#REF!</definedName>
    <definedName name="z_3PODK70133_MO_BS_TotalNonCurrentAssets">#REF!</definedName>
    <definedName name="z_3PODK70133_MO_BS_TotalNonCurrentliabilities">#REF!</definedName>
    <definedName name="z_3PODK70133_MO_BS_TotalSE">#REF!</definedName>
    <definedName name="z_3PODK70133_MO_BS_treasurystock">#REF!</definedName>
    <definedName name="z_3PODK70133_MO_BSS_Cash">#REF!</definedName>
    <definedName name="z_3PODK70133_MO_BSS_Debt">#REF!</definedName>
    <definedName name="z_3PODK70133_MO_BSS_DebtCashFlow">#REF!</definedName>
    <definedName name="z_3PODK70133_MO_BSS_DebtEBITDA">#REF!</definedName>
    <definedName name="z_3PODK70133_MO_BSS_EBITDANetInterestExpense">#REF!</definedName>
    <definedName name="z_3PODK70133_MO_BSS_EffectiveInterestRateonCash">#REF!</definedName>
    <definedName name="z_3PODK70133_MO_BSS_EffectiveInterestRateonDebt">#REF!</definedName>
    <definedName name="z_3PODK70133_MO_BSS_EffectiveNetInterestRateonDebt">#REF!</definedName>
    <definedName name="z_3PODK70133_MO_BSS_InterestExpense">#REF!</definedName>
    <definedName name="z_3PODK70133_MO_BSS_InterestIncome">#REF!</definedName>
    <definedName name="z_3PODK70133_MO_BSS_LTDebt">#REF!</definedName>
    <definedName name="z_3PODK70133_MO_BSS_NetDebt">#REF!</definedName>
    <definedName name="z_3PODK70133_MO_BSS_NetInterestExpenseIncome">#REF!</definedName>
    <definedName name="z_3PODK70133_MO_BSS_OperatingLeaseLiabilities">#REF!</definedName>
    <definedName name="z_3PODK70133_MO_BSS_STDebt">#REF!</definedName>
    <definedName name="z_3PODK70133_MO_CCFS_accountspayable">#REF!</definedName>
    <definedName name="z_3PODK70133_MO_CCFS_accountsreceivable">#REF!</definedName>
    <definedName name="z_3PODK70133_MO_CCFS_Acquiredinprocessresearchanddevelopment">#REF!</definedName>
    <definedName name="z_3PODK70133_MO_CCFS_additionstopropertyandequipment">#REF!</definedName>
    <definedName name="z_3PODK70133_MO_CCFS_amortizationanddepreciation">#REF!</definedName>
    <definedName name="z_3PODK70133_MO_CCFS_Amortizationofdebtissuancecosts">#REF!</definedName>
    <definedName name="z_3PODK70133_MO_CCFS_Amortizationofoperatingleaserightofuseassets">#REF!</definedName>
    <definedName name="z_3PODK70133_MO_CCFS_amortizationonpatents">#REF!</definedName>
    <definedName name="z_3PODK70133_MO_CCFS_BeginningCashBalance">#REF!</definedName>
    <definedName name="z_3PODK70133_MO_CCFS_Businessacquisition">#REF!</definedName>
    <definedName name="z_3PODK70133_MO_CCFS_Cashpaidforincometaxes">#REF!</definedName>
    <definedName name="z_3PODK70133_MO_CCFS_Cashpaidforinterest">#REF!</definedName>
    <definedName name="z_3PODK70133_MO_CCFS_CFF">#REF!</definedName>
    <definedName name="z_3PODK70133_MO_CCFS_CFI">#REF!</definedName>
    <definedName name="z_3PODK70133_MO_CCFS_CFO">#REF!</definedName>
    <definedName name="z_3PODK70133_MO_CCFS_CFObeforeWC">#REF!</definedName>
    <definedName name="z_3PODK70133_MO_CCFS_changeinfairvalueofcontingentliability">#REF!</definedName>
    <definedName name="z_3PODK70133_MO_CCFS_deferredincometaxes">#REF!</definedName>
    <definedName name="z_3PODK70133_MO_CCFS_deferredrevenue">#REF!</definedName>
    <definedName name="z_3PODK70133_MO_CCFS_Disposalofpropertyandequipment">#REF!</definedName>
    <definedName name="z_3PODK70133_MO_CCFS_Dividendspaidtocommonstockholders">#REF!</definedName>
    <definedName name="z_3PODK70133_MO_CCFS_Dividendspaidtoemployeesforunvestedshares">#REF!</definedName>
    <definedName name="z_3PODK70133_MO_CCFS_Dividendspaidtoredeemableconvertiblepreferredstockholders">#REF!</definedName>
    <definedName name="z_3PODK70133_MO_CCFS_EndingCashBalance">#REF!</definedName>
    <definedName name="z_3PODK70133_MO_CCFS_FX">#REF!</definedName>
    <definedName name="z_3PODK70133_MO_CCFS_Gainonnotesreceivable">#REF!</definedName>
    <definedName name="z_3PODK70133_MO_CCFS_gainonreleaseofcontingentliability">#REF!</definedName>
    <definedName name="z_3PODK70133_MO_CCFS_Gainonsaleofinvestment">#REF!</definedName>
    <definedName name="z_3PODK70133_MO_CCFS_goodwillandintangibleassetimpairment">#REF!</definedName>
    <definedName name="z_3PODK70133_MO_CCFS_impairmentofcostmethodinvestment">#REF!</definedName>
    <definedName name="z_3PODK70133_MO_CCFS_inventory">#REF!</definedName>
    <definedName name="z_3PODK70133_MO_CCFS_investmentincostmethodinvestee">#REF!</definedName>
    <definedName name="z_3PODK70133_MO_CCFS_Issuancesofcommonstockfromequitybasedplans">#REF!</definedName>
    <definedName name="z_3PODK70133_MO_CCFS_issuancesofnotesreceivable">#REF!</definedName>
    <definedName name="z_3PODK70133_MO_CCFS_Lossonearlyextinguishmentofdebt">#REF!</definedName>
    <definedName name="z_3PODK70133_MO_CCFS_NetCFF">#REF!</definedName>
    <definedName name="z_3PODK70133_MO_CCFS_NetCFI">#REF!</definedName>
    <definedName name="z_3PODK70133_MO_CCFS_NetCFO">#REF!</definedName>
    <definedName name="z_3PODK70133_MO_CCFS_NetChangeinCashBalance">#REF!</definedName>
    <definedName name="z_3PODK70133_MO_CCFS_netincome">#REF!</definedName>
    <definedName name="z_3PODK70133_MO_CCFS_Operatingleaseliabilities">#REF!</definedName>
    <definedName name="z_3PODK70133_MO_CCFS_Other">#REF!</definedName>
    <definedName name="z_3PODK70133_MO_CCFS_Otherassets">#REF!</definedName>
    <definedName name="z_3PODK70133_MO_CCFS_Otherliabilities">#REF!</definedName>
    <definedName name="z_3PODK70133_MO_CCFS_paymentforrepurchaseofpreferredstock">#REF!</definedName>
    <definedName name="z_3PODK70133_MO_CCFS_Paymentsoflongtermconsiderationforbusinessacquisitions">#REF!</definedName>
    <definedName name="z_3PODK70133_MO_CCFS_paymentsofofferingcosts">#REF!</definedName>
    <definedName name="z_3PODK70133_MO_CCFS_Paymentsoftaxwithholdingsrelatedtovestingofrestrictedstockunits">#REF!</definedName>
    <definedName name="z_3PODK70133_MO_CCFS_paymentsonnotesreceivable">"Deleted"</definedName>
    <definedName name="z_3PODK70133_MO_CCFS_proceedsfromcreditfacility">#REF!</definedName>
    <definedName name="z_3PODK70133_MO_CCFS_proceedsfromearlyexerciseofstockoptions">#REF!</definedName>
    <definedName name="z_3PODK70133_MO_CCFS_proceedsfromissuanceofcommonstockfrominitialpublicoffering">#REF!</definedName>
    <definedName name="z_3PODK70133_MO_CCFS_Proceedsfromissuanceofdebt">#REF!</definedName>
    <definedName name="z_3PODK70133_MO_CCFS_proceedsfromissuanceofpreferredstock">#REF!</definedName>
    <definedName name="z_3PODK70133_MO_CCFS_Proceedsfromsaleofinvestment">#REF!</definedName>
    <definedName name="z_3PODK70133_MO_CCFS_proceedsfromsaleofpropertyandequipment">#REF!</definedName>
    <definedName name="z_3PODK70133_MO_CCFS_provisionfordoubtfulaccounts">#REF!</definedName>
    <definedName name="z_3PODK70133_MO_CCFS_Provisionforexcessandobsoleteinventory">#REF!</definedName>
    <definedName name="z_3PODK70133_MO_CCFS_Provisionfornotesreceivable">#REF!</definedName>
    <definedName name="z_3PODK70133_MO_CCFS_Purchaseofinvestmentinunconsolidatedentity">#REF!</definedName>
    <definedName name="z_3PODK70133_MO_CCFS_Purchasesofinprocessresearchanddevelopment">#REF!</definedName>
    <definedName name="z_3PODK70133_MO_CCFS_purchasesoflicensestopatents">#REF!</definedName>
    <definedName name="z_3PODK70133_MO_CCFS_purchasesofmarketablesecurities">#REF!</definedName>
    <definedName name="z_3PODK70133_MO_CCFS_repaymentsofcreditfacility">#REF!</definedName>
    <definedName name="z_3PODK70133_MO_CCFS_repaymentsofnotesreceivable">#REF!</definedName>
    <definedName name="z_3PODK70133_MO_CCFS_repaymentsoftermloan">#REF!</definedName>
    <definedName name="z_3PODK70133_MO_CCFS_repurchasesofcommonstock">#REF!</definedName>
    <definedName name="z_3PODK70133_MO_CCFS_reserveforproductreturns">#REF!</definedName>
    <definedName name="z_3PODK70133_MO_CCFS_saleofcostmethodinvestee">#REF!</definedName>
    <definedName name="z_3PODK70133_MO_CCFS_stockbasedcompensation">#REF!</definedName>
    <definedName name="z_3PODK70133_MO_CCFS_taxwindfallbenefitfromstockoptions">#REF!</definedName>
    <definedName name="z_3PODK70133_MO_CCFS_Undistributedlossesfromequityinvestees">#REF!</definedName>
    <definedName name="z_3PODK70133_MO_CCFS_unrealizedgainonderivativeinstrument">#REF!</definedName>
    <definedName name="z_3PODK70133_MO_CFS_accountspayable">#REF!</definedName>
    <definedName name="z_3PODK70133_MO_CFS_accountsreceivable">#REF!</definedName>
    <definedName name="z_3PODK70133_MO_CFS_Acquiredinprocessresearchanddevelopment">#REF!</definedName>
    <definedName name="z_3PODK70133_MO_CFS_additionstopropertyandequipment">#REF!</definedName>
    <definedName name="z_3PODK70133_MO_CFS_amortizationanddepreciation">#REF!</definedName>
    <definedName name="z_3PODK70133_MO_CFS_Amortizationofdebtissuancecosts">#REF!</definedName>
    <definedName name="z_3PODK70133_MO_CFS_Amortizationofoperatingleaserightofuseassets">#REF!</definedName>
    <definedName name="z_3PODK70133_MO_CFS_amortizationonpatents">#REF!</definedName>
    <definedName name="z_3PODK70133_MO_CFS_BeginningCashBalance">#REF!</definedName>
    <definedName name="z_3PODK70133_MO_CFS_Businessacquisition">#REF!</definedName>
    <definedName name="z_3PODK70133_MO_CFS_Cashpaidforincometaxes">#REF!</definedName>
    <definedName name="z_3PODK70133_MO_CFS_Cashpaidforinterest">#REF!</definedName>
    <definedName name="z_3PODK70133_MO_CFS_CFCheck">#REF!</definedName>
    <definedName name="z_3PODK70133_MO_CFS_CFF">#REF!</definedName>
    <definedName name="z_3PODK70133_MO_CFS_CFI">#REF!</definedName>
    <definedName name="z_3PODK70133_MO_CFS_CFO">#REF!</definedName>
    <definedName name="z_3PODK70133_MO_CFS_CFObeforeWC">#REF!</definedName>
    <definedName name="z_3PODK70133_MO_CFS_changeinfairvalueofcontingentliability">#REF!</definedName>
    <definedName name="z_3PODK70133_MO_CFS_deferredincometaxes">#REF!</definedName>
    <definedName name="z_3PODK70133_MO_CFS_deferredrevenue">#REF!</definedName>
    <definedName name="z_3PODK70133_MO_CFS_Disposalofpropertyandequipment">#REF!</definedName>
    <definedName name="z_3PODK70133_MO_CFS_Dividendspaidtocommonstockholders">#REF!</definedName>
    <definedName name="z_3PODK70133_MO_CFS_Dividendspaidtoemployeesforunvestedshares">#REF!</definedName>
    <definedName name="z_3PODK70133_MO_CFS_Dividendspaidtoredeemableconvertiblepreferredstockholders">#REF!</definedName>
    <definedName name="z_3PODK70133_MO_CFS_EndingCashBalance">#REF!</definedName>
    <definedName name="z_3PODK70133_MO_CFS_FX">#REF!</definedName>
    <definedName name="z_3PODK70133_MO_CFS_Gainonnotesreceivable">#REF!</definedName>
    <definedName name="z_3PODK70133_MO_CFS_gainonreleaseofcontingentliability">#REF!</definedName>
    <definedName name="z_3PODK70133_MO_CFS_Gainonsaleofinvestment">#REF!</definedName>
    <definedName name="z_3PODK70133_MO_CFS_goodwillandintangibleassetimpairment">#REF!</definedName>
    <definedName name="z_3PODK70133_MO_CFS_impairmentofcostmethodinvestment">#REF!</definedName>
    <definedName name="z_3PODK70133_MO_CFS_inventory">#REF!</definedName>
    <definedName name="z_3PODK70133_MO_CFS_investmentincostmethodinvestee">#REF!</definedName>
    <definedName name="z_3PODK70133_MO_CFS_Issuancesofcommonstockfromequitybasedplans">#REF!</definedName>
    <definedName name="z_3PODK70133_MO_CFS_issuancesofnotesreceivable">#REF!</definedName>
    <definedName name="z_3PODK70133_MO_CFS_Lossonearlyextinguishmentofdebt">#REF!</definedName>
    <definedName name="z_3PODK70133_MO_CFS_NetCFF">#REF!</definedName>
    <definedName name="z_3PODK70133_MO_CFS_NetCFI">#REF!</definedName>
    <definedName name="z_3PODK70133_MO_CFS_NetCFO">#REF!</definedName>
    <definedName name="z_3PODK70133_MO_CFS_NetChangeinCashBalance">#REF!</definedName>
    <definedName name="z_3PODK70133_MO_CFS_netincome">#REF!</definedName>
    <definedName name="z_3PODK70133_MO_CFS_Operatingleaseliabilities">#REF!</definedName>
    <definedName name="z_3PODK70133_MO_CFS_Other">#REF!</definedName>
    <definedName name="z_3PODK70133_MO_CFS_Otherassets">#REF!</definedName>
    <definedName name="z_3PODK70133_MO_CFS_Otherliabilities">#REF!</definedName>
    <definedName name="z_3PODK70133_MO_CFS_paymentforrepurchaseofpreferredstock">#REF!</definedName>
    <definedName name="z_3PODK70133_MO_CFS_Paymentsoflongtermconsiderationforbusinessacquisitions">#REF!</definedName>
    <definedName name="z_3PODK70133_MO_CFS_paymentsofofferingcosts">#REF!</definedName>
    <definedName name="z_3PODK70133_MO_CFS_Paymentsoftaxwithholdingsrelatedtovestingofrestrictedstockunits">#REF!</definedName>
    <definedName name="z_3PODK70133_MO_CFS_paymentsonnotesreceivable">"Deleted"</definedName>
    <definedName name="z_3PODK70133_MO_CFS_proceedsfromcreditfacility">#REF!</definedName>
    <definedName name="z_3PODK70133_MO_CFS_proceedsfromearlyexerciseofstockoptions">#REF!</definedName>
    <definedName name="z_3PODK70133_MO_CFS_proceedsfromissuanceofcommonstockfrominitialpublicoffering">#REF!</definedName>
    <definedName name="z_3PODK70133_MO_CFS_Proceedsfromissuanceofdebt">#REF!</definedName>
    <definedName name="z_3PODK70133_MO_CFS_proceedsfromissuanceofpreferredstock">#REF!</definedName>
    <definedName name="z_3PODK70133_MO_CFS_Proceedsfromsaleofinvestment">#REF!</definedName>
    <definedName name="z_3PODK70133_MO_CFS_proceedsfromsaleofpropertyandequipment">#REF!</definedName>
    <definedName name="z_3PODK70133_MO_CFS_provisionfordoubtfulaccounts">#REF!</definedName>
    <definedName name="z_3PODK70133_MO_CFS_Provisionforexcessandobsoleteinventory">#REF!</definedName>
    <definedName name="z_3PODK70133_MO_CFS_Provisionfornotesreceivable">#REF!</definedName>
    <definedName name="z_3PODK70133_MO_CFS_Purchaseofinvestmentinunconsolidatedentity">#REF!</definedName>
    <definedName name="z_3PODK70133_MO_CFS_Purchasesofinprocessresearchanddevelopment">#REF!</definedName>
    <definedName name="z_3PODK70133_MO_CFS_purchasesoflicensestopatents">#REF!</definedName>
    <definedName name="z_3PODK70133_MO_CFS_purchasesofmarketablesecurities">#REF!</definedName>
    <definedName name="z_3PODK70133_MO_CFS_repaymentsofcreditfacility">#REF!</definedName>
    <definedName name="z_3PODK70133_MO_CFS_repaymentsofnotesreceivable">#REF!</definedName>
    <definedName name="z_3PODK70133_MO_CFS_repaymentsoftermloan">#REF!</definedName>
    <definedName name="z_3PODK70133_MO_CFS_repurchasesofcommonstock">#REF!</definedName>
    <definedName name="z_3PODK70133_MO_CFS_reserveforproductreturns">#REF!</definedName>
    <definedName name="z_3PODK70133_MO_CFS_saleofcostmethodinvestee">#REF!</definedName>
    <definedName name="z_3PODK70133_MO_CFS_stockbasedcompensation">#REF!</definedName>
    <definedName name="z_3PODK70133_MO_CFS_taxwindfallbenefitfromstockoptions">#REF!</definedName>
    <definedName name="z_3PODK70133_MO_CFS_Undistributedlossesfromequityinvestees">#REF!</definedName>
    <definedName name="z_3PODK70133_MO_CFS_unrealizedgainonderivativeinstrument">#REF!</definedName>
    <definedName name="z_3PODK70133_MO_CFSum_Acquisitions">#REF!</definedName>
    <definedName name="z_3PODK70133_MO_CFSum_Capex">#REF!</definedName>
    <definedName name="z_3PODK70133_MO_CFSum_CashFlowPerDilutedShare">#REF!</definedName>
    <definedName name="z_3PODK70133_MO_CFSum_CashFlowPerDilutedShare_1">#REF!</definedName>
    <definedName name="z_3PODK70133_MO_CFSum_ChangeinWorkingCapital">#REF!</definedName>
    <definedName name="z_3PODK70133_MO_CFSum_ConsensusEstimatesCapex">#REF!</definedName>
    <definedName name="z_3PODK70133_MO_CFSum_consensusestimatescashflowperdilutedshare">#REF!</definedName>
    <definedName name="z_3PODK70133_MO_CFSum_Divestiture">#REF!</definedName>
    <definedName name="z_3PODK70133_MO_CFSum_DividendPaid">#REF!</definedName>
    <definedName name="z_3PODK70133_MO_CFSum_DividendPerShare">#REF!</definedName>
    <definedName name="z_3PODK70133_MO_CFSum_EstimatedSharePriceforIssuanceBuybacks">#REF!</definedName>
    <definedName name="z_3PODK70133_MO_CFSum_FCF">#REF!</definedName>
    <definedName name="z_3PODK70133_MO_CFSum_FCF_1">#REF!</definedName>
    <definedName name="z_3PODK70133_MO_CFSum_FCF_2">#REF!</definedName>
    <definedName name="z_3PODK70133_MO_CFSum_FCF_4">#REF!</definedName>
    <definedName name="z_3PODK70133_MO_CFSum_FCFPostDiv_1">#REF!</definedName>
    <definedName name="z_3PODK70133_MO_CFSum_FCFPostDiv_2">#REF!</definedName>
    <definedName name="z_3PODK70133_MO_CFSum_FCFPostDivDebtBuyback">#REF!</definedName>
    <definedName name="z_3PODK70133_MO_CFSum_FCFPostDivDebtBuyback_1">#REF!</definedName>
    <definedName name="z_3PODK70133_MO_CFSum_NetDebtIssuanceRepayment">#REF!</definedName>
    <definedName name="z_3PODK70133_MO_CFSum_NetShareIssuanceBuybacks">#REF!</definedName>
    <definedName name="z_3PODK70133_MO_CFSum_OperatingCashFlowafterWC">#REF!</definedName>
    <definedName name="z_3PODK70133_MO_CFSum_OperatingCashFlowbeforeWC">#REF!</definedName>
    <definedName name="z_3PODK70133_MO_Checks_SNA_AdjustedNumbersFYSumofQs">#REF!</definedName>
    <definedName name="z_3PODK70133_MO_Checks_SNA_BalanceSheetisnotRepeated">#REF!</definedName>
    <definedName name="z_3PODK70133_MO_Checks_SNA_CapexisUpdated">#REF!</definedName>
    <definedName name="z_3PODK70133_MO_Checks_SNA_CashFlowisnotRepeated">#REF!</definedName>
    <definedName name="z_3PODK70133_MO_Checks_SNA_CashFlowSummarySignsareCorrect">#REF!</definedName>
    <definedName name="z_3PODK70133_MO_Checks_SNA_CashisPositive">#REF!</definedName>
    <definedName name="z_3PODK70133_MO_Checks_SNA_CFFsubtotalFYSumofQs">#REF!</definedName>
    <definedName name="z_3PODK70133_MO_Checks_SNA_CFIsubtotalFYSumofQs">#REF!</definedName>
    <definedName name="z_3PODK70133_MO_Checks_SNA_CFOBeforeWCsubtotalFYSumofQs">#REF!</definedName>
    <definedName name="z_3PODK70133_MO_Checks_SNA_CFOsubtotalFYSumofQs">#REF!</definedName>
    <definedName name="z_3PODK70133_MO_Checks_SNA_CFSummaryFYSumofQs">#REF!</definedName>
    <definedName name="z_3PODK70133_MO_Checks_SNA_DebtisPositive">#REF!</definedName>
    <definedName name="z_3PODK70133_MO_Checks_SNA_EndingCFEndingCumulativeCF">#REF!</definedName>
    <definedName name="z_3PODK70133_MO_Checks_SNA_IncomeStatementisnotRepeated">#REF!</definedName>
    <definedName name="z_3PODK70133_MO_Checks_SNA_Marginaddsupto100">#REF!</definedName>
    <definedName name="z_3PODK70133_MO_Checks_SNA_MarginisUpdated">#REF!</definedName>
    <definedName name="z_3PODK70133_MO_Checks_SNA_RISAdjustedNIFYSumofQs">#REF!</definedName>
    <definedName name="z_3PODK70133_MO_Checks_SNA_RISNIFYSumofQs">#REF!</definedName>
    <definedName name="z_3PODK70133_MO_Checks_SNA_SegmentedRevenueRevenue">#REF!</definedName>
    <definedName name="z_3PODK70133_MO_DAF_AmortizationaspercentageofIntangiblesBoP">#REF!</definedName>
    <definedName name="z_3PODK70133_MO_DAF_Amortizationofintangibles">#REF!</definedName>
    <definedName name="z_3PODK70133_MO_DAF_Capexofintangibles">#REF!</definedName>
    <definedName name="z_3PODK70133_MO_DAF_CapexofPPE">#REF!</definedName>
    <definedName name="z_3PODK70133_MO_DAF_CapexofPPEandIntangibles">#REF!</definedName>
    <definedName name="z_3PODK70133_MO_DAF_DAofPPEandIntangibles">#REF!</definedName>
    <definedName name="z_3PODK70133_MO_DAF_DepreciationaspercentageofPPEBoP">#REF!</definedName>
    <definedName name="z_3PODK70133_MO_DAF_Depreciationoffixedassets">#REF!</definedName>
    <definedName name="z_3PODK70133_MO_DAF_Impliedlifeoffixedassets">#REF!</definedName>
    <definedName name="z_3PODK70133_MO_DAF_Impliedlifeofintangibles">#REF!</definedName>
    <definedName name="z_3PODK70133_MO_DAF_IntangiblesBoP">#REF!</definedName>
    <definedName name="z_3PODK70133_MO_DAF_IntangiblesEoP">#REF!</definedName>
    <definedName name="z_3PODK70133_MO_DAF_Othernetadditionstointangibles">#REF!</definedName>
    <definedName name="z_3PODK70133_MO_DAF_OthernetadditionstoPPE">#REF!</definedName>
    <definedName name="z_3PODK70133_MO_DAF_Percentageofcapexallocatedtointangibleassets">#REF!</definedName>
    <definedName name="z_3PODK70133_MO_DAF_PPEBoP">#REF!</definedName>
    <definedName name="z_3PODK70133_MO_DAF_PPEEoP">#REF!</definedName>
    <definedName name="z_3PODK70133_MO_GA_AlarmcomHardwareandOtherrevenuegrowth">#REF!</definedName>
    <definedName name="z_3PODK70133_MO_GA_Alarmcomrevenuegrowth">#REF!</definedName>
    <definedName name="z_3PODK70133_MO_GA_AlarmcomSaaSandLicenserevenuegrowth">#REF!</definedName>
    <definedName name="z_3PODK70133_MO_GA_OtherHardwareandOtherrevenuegrowth">#REF!</definedName>
    <definedName name="z_3PODK70133_MO_GA_Otherrevenuegrowth">#REF!</definedName>
    <definedName name="z_3PODK70133_MO_GA_OtherSaaSandLicenserevenuegrowth">#REF!</definedName>
    <definedName name="z_3PODK70133_MO_Header_ColumnHeader">#REF!</definedName>
    <definedName name="z_3PODK70133_MO_Header_CompanySubTitle">#REF!</definedName>
    <definedName name="z_3PODK70133_MO_Header_CompanyTitle">#REF!</definedName>
    <definedName name="z_3PODK70133_MO_Header_FPDays">#REF!</definedName>
    <definedName name="z_3PODK70133_MO_Header_QEndDate">#REF!</definedName>
    <definedName name="z_3PODK70133_MO_IS_amortizationanddepreciation">#REF!</definedName>
    <definedName name="z_3PODK70133_MO_IS_Costofhardwareandotherrevenue">#REF!</definedName>
    <definedName name="z_3PODK70133_MO_IS_costofsaasandlicenserevenue">#REF!</definedName>
    <definedName name="z_3PODK70133_MO_IS_Cumulativedividendonredeemableconvertiblepreferredstock">#REF!</definedName>
    <definedName name="z_3PODK70133_MO_IS_Dividendspaidonredeemableconvertiblepreferredstock">#REF!</definedName>
    <definedName name="z_3PODK70133_MO_IS_Dividendspaidtoparticipatingsecurities">#REF!</definedName>
    <definedName name="z_3PODK70133_MO_IS_generalandadministrative">#REF!</definedName>
    <definedName name="z_3PODK70133_MO_IS_Hardwareandotherrevenue">#REF!</definedName>
    <definedName name="z_3PODK70133_MO_IS_incomeallocatedtoparticipatingsecurities">#REF!</definedName>
    <definedName name="z_3PODK70133_MO_IS_incomebeforeincometaxes">#REF!</definedName>
    <definedName name="z_3PODK70133_MO_IS_interestexpense">#REF!</definedName>
    <definedName name="z_3PODK70133_MO_IS_Interestincome">#REF!</definedName>
    <definedName name="z_3PODK70133_MO_IS_ISCheck">#REF!</definedName>
    <definedName name="z_3PODK70133_MO_IS_netincome">#REF!</definedName>
    <definedName name="z_3PODK70133_MO_IS_netincomeattributabletocommonstockholders">#REF!</definedName>
    <definedName name="z_3PODK70133_MO_IS_Netlossattributabletoredeemablenoncontrollinginterest">#REF!</definedName>
    <definedName name="z_3PODK70133_MO_IS_operatingincome">#REF!</definedName>
    <definedName name="z_3PODK70133_MO_IS_Otherincome">#REF!</definedName>
    <definedName name="z_3PODK70133_MO_IS_provisionforincometaxes">#REF!</definedName>
    <definedName name="z_3PODK70133_MO_IS_researchanddevelopment">#REF!</definedName>
    <definedName name="z_3PODK70133_MO_IS_saasandlicenserevenue">#REF!</definedName>
    <definedName name="z_3PODK70133_MO_IS_salesandmarketing">#REF!</definedName>
    <definedName name="z_3PODK70133_MO_IS_totalcostofrevenue">#REF!</definedName>
    <definedName name="z_3PODK70133_MO_IS_totaloperatingexpenses">#REF!</definedName>
    <definedName name="z_3PODK70133_MO_IS_totalrevenue">#REF!</definedName>
    <definedName name="z_3PODK70133_MO_MA_AdjustedEBITDAMargin">#REF!</definedName>
    <definedName name="z_3PODK70133_MO_MA_AverageFXRate">#REF!</definedName>
    <definedName name="z_3PODK70133_MO_MA_COGSMargin">#REF!</definedName>
    <definedName name="z_3PODK70133_MO_MA_COGSMargin_1">#REF!</definedName>
    <definedName name="z_3PODK70133_MO_MA_consensusestimatesadjustedebitdamargin">#REF!</definedName>
    <definedName name="z_3PODK70133_MO_MA_consensusestimatesgrossmargin">#REF!</definedName>
    <definedName name="z_3PODK70133_MO_MA_Costofhardwareandotherrevenue">#REF!</definedName>
    <definedName name="z_3PODK70133_MO_MA_costofsaasandlicenserevenue">#REF!</definedName>
    <definedName name="z_3PODK70133_MO_MA_EBITDAMargin">#REF!</definedName>
    <definedName name="z_3PODK70133_MO_MA_EoPFXRate">#REF!</definedName>
    <definedName name="z_3PODK70133_MO_MA_GAMargin">#REF!</definedName>
    <definedName name="z_3PODK70133_MO_MA_GAMargin_1">#REF!</definedName>
    <definedName name="z_3PODK70133_MO_MA_GrossMargin">#REF!</definedName>
    <definedName name="z_3PODK70133_MO_MA_GrossMargin_1">#REF!</definedName>
    <definedName name="z_3PODK70133_MO_MA_RDMargin">#REF!</definedName>
    <definedName name="z_3PODK70133_MO_MA_RDMargin_1">#REF!</definedName>
    <definedName name="z_3PODK70133_MO_MA_SMMargin">#REF!</definedName>
    <definedName name="z_3PODK70133_MO_MA_SMMargin_1">#REF!</definedName>
    <definedName name="z_3PODK70133_MO_MA_StockEoP">#REF!</definedName>
    <definedName name="z_3PODK70133_MO_MA_StockPriceTradingCurAvg">#REF!</definedName>
    <definedName name="z_3PODK70133_MO_OS_Accountspayableaccruedexpensesandothercurrentliabilities">#REF!</definedName>
    <definedName name="z_3PODK70133_MO_OS_AccountspayableaccruedexpensesandothercurrentliabilitiesYYChange">#REF!</definedName>
    <definedName name="z_3PODK70133_MO_OS_Accountsreceivablenet">#REF!</definedName>
    <definedName name="z_3PODK70133_MO_OS_AccountsreceivablenetYYChange">#REF!</definedName>
    <definedName name="z_3PODK70133_MO_OS_ADTLLCrevenuecontribution">#REF!</definedName>
    <definedName name="z_3PODK70133_MO_OS_AlarmcomHardwareandOtherrevenue">#REF!</definedName>
    <definedName name="z_3PODK70133_MO_OS_alarmcomrevenue">#REF!</definedName>
    <definedName name="z_3PODK70133_MO_OS_AlarmcomSaaSandLicenseRevenue">#REF!</definedName>
    <definedName name="z_3PODK70133_MO_OS_Alarmcomsegmentemployees">#REF!</definedName>
    <definedName name="z_3PODK70133_MO_OS_Averageofsubscribers">#REF!</definedName>
    <definedName name="z_3PODK70133_MO_OS_AverageSaaSRevenuePerSubscriber">#REF!</definedName>
    <definedName name="z_3PODK70133_MO_OS_BoPofsubscribers">#REF!</definedName>
    <definedName name="z_3PODK70133_MO_OS_BrinksHomeSecurityrevenuecontribution">#REF!</definedName>
    <definedName name="z_3PODK70133_MO_OS_CACpercustomer">#REF!</definedName>
    <definedName name="z_3PODK70133_MO_OS_Canalystcalculatedbillings">#REF!</definedName>
    <definedName name="z_3PODK70133_MO_OS_Canalystcalculatedbillingsgrowthyy">#REF!</definedName>
    <definedName name="z_3PODK70133_MO_OS_CommonStockOutstandingEoP">#REF!</definedName>
    <definedName name="z_3PODK70133_MO_OS_Contractassets">#REF!</definedName>
    <definedName name="z_3PODK70133_MO_OS_Contributionmargin">#REF!</definedName>
    <definedName name="z_3PODK70133_MO_OS_CoverPageCommonStockOutstandingEoP">#REF!</definedName>
    <definedName name="z_3PODK70133_MO_OS_CurrentGA">#REF!</definedName>
    <definedName name="z_3PODK70133_MO_OS_CurrentRD">#REF!</definedName>
    <definedName name="z_3PODK70133_MO_OS_CurrentSM">#REF!</definedName>
    <definedName name="z_3PODK70133_MO_OS_DateofCoverPageShareCount">#REF!</definedName>
    <definedName name="z_3PODK70133_MO_OS_EoPofsubscribers">#REF!</definedName>
    <definedName name="z_3PODK70133_MO_OS_FreeCashFlow">#REF!</definedName>
    <definedName name="z_3PODK70133_MO_OS_FreeCashFlowLTM">#REF!</definedName>
    <definedName name="z_3PODK70133_MO_OS_FreeCashFlowmarginLTM">#REF!</definedName>
    <definedName name="z_3PODK70133_MO_OS_GAChangeinacquisitionrelatedexpenses">#REF!</definedName>
    <definedName name="z_3PODK70133_MO_OS_GAChangeinadjustmentduetoincreaseinfairvalueofsubsidiarystockgrantedtoemployees">#REF!</definedName>
    <definedName name="z_3PODK70133_MO_OS_GAChangeincontingentconsiderationliability">#REF!</definedName>
    <definedName name="z_3PODK70133_MO_OS_GAChangeinexternalconsultantsexpensesfromAlarmcomsegment">#REF!</definedName>
    <definedName name="z_3PODK70133_MO_OS_GAChangeinexternalconsultantsexpensesfromothersegment">#REF!</definedName>
    <definedName name="z_3PODK70133_MO_OS_GAChangeinGAfromothersegment">#REF!</definedName>
    <definedName name="z_3PODK70133_MO_OS_GAChangeingenerallegalandaccountingfees">#REF!</definedName>
    <definedName name="z_3PODK70133_MO_OS_GAChangeinimpairmentexpenses">#REF!</definedName>
    <definedName name="z_3PODK70133_MO_OS_GAChangeininsurancerelatedcosts">#REF!</definedName>
    <definedName name="z_3PODK70133_MO_OS_GAChangeinlegalexpenseswithinAlarmcomsegment">#REF!</definedName>
    <definedName name="z_3PODK70133_MO_OS_GAChangeinoffsiteinternalstrategyandproductroadmapconferencefees">#REF!</definedName>
    <definedName name="z_3PODK70133_MO_OS_GAChangeinpersonnelrelatedcosts">#REF!</definedName>
    <definedName name="z_3PODK70133_MO_OS_GAChangeinprofessionalservices">#REF!</definedName>
    <definedName name="z_3PODK70133_MO_OS_GAChangeinprovisionforcreditlossesforAlarmcomsegment">#REF!</definedName>
    <definedName name="z_3PODK70133_MO_OS_GAChangeinprovisionforcreditlossesfromothersegment">#REF!</definedName>
    <definedName name="z_3PODK70133_MO_OS_GAChangeinrecruitingrelatedcosts">#REF!</definedName>
    <definedName name="z_3PODK70133_MO_OS_GAChangeinrentbaddebtreservefromothersegment">#REF!</definedName>
    <definedName name="z_3PODK70133_MO_OS_GAChangeinrentexpense">#REF!</definedName>
    <definedName name="z_3PODK70133_MO_OS_GAChangeinrentexpensefromothersegment">#REF!</definedName>
    <definedName name="z_3PODK70133_MO_OS_GAChangeinreversalofreserve">#REF!</definedName>
    <definedName name="z_3PODK70133_MO_OS_GAChangeinstockbasedcompensation">#REF!</definedName>
    <definedName name="z_3PODK70133_MO_OS_GAChangeintravelexpenses">#REF!</definedName>
    <definedName name="z_3PODK70133_MO_OS_GAChangepersonnelrelatedcostsfromothersegment">#REF!</definedName>
    <definedName name="z_3PODK70133_MO_OS_GAOthermarginalcosts">#REF!</definedName>
    <definedName name="z_3PODK70133_MO_OS_GMemployeecount">#REF!</definedName>
    <definedName name="z_3PODK70133_MO_OS_HardwareandotherCOGS">#REF!</definedName>
    <definedName name="z_3PODK70133_MO_OS_HardwareandOtherGrossMargin">#REF!</definedName>
    <definedName name="z_3PODK70133_MO_OS_HardwareandOtherGrossProfit">#REF!</definedName>
    <definedName name="z_3PODK70133_MO_OS_Hardwareandotherrevenue">#REF!</definedName>
    <definedName name="z_3PODK70133_MO_OS_Hardwareandotherrevenue_1">#REF!</definedName>
    <definedName name="z_3PODK70133_MO_OS_ImpliedARR">#REF!</definedName>
    <definedName name="z_3PODK70133_MO_OS_ImpliedCACpayback">#REF!</definedName>
    <definedName name="z_3PODK70133_MO_OS_ImpliedMagicNumber">#REF!</definedName>
    <definedName name="z_3PODK70133_MO_OS_ImpliedNetNewARR">#REF!</definedName>
    <definedName name="z_3PODK70133_MO_OS_intersegmentalarmcomrevenue">#REF!</definedName>
    <definedName name="z_3PODK70133_MO_OS_IntersegmentAlarmcomrevenueasofAlarmcomhardwarerevenue">#REF!</definedName>
    <definedName name="z_3PODK70133_MO_OS_IntersegmentOtherRevenue">#REF!</definedName>
    <definedName name="z_3PODK70133_MO_OS_IntersegmentOtherrevenueasofOtherhardwarerevenue">#REF!</definedName>
    <definedName name="z_3PODK70133_MO_OS_NetAddition">#REF!</definedName>
    <definedName name="z_3PODK70133_MO_OS_NumberofConnectedDevices">#REF!</definedName>
    <definedName name="z_3PODK70133_MO_OS_NumberofDataPointsinthelastyearalone">#REF!</definedName>
    <definedName name="z_3PODK70133_MO_OS_Numberofemployees">#REF!</definedName>
    <definedName name="z_3PODK70133_MO_OS_NumberofServiceProviders">#REF!</definedName>
    <definedName name="z_3PODK70133_MO_OS_OtherHardwareandOtherrevenue">#REF!</definedName>
    <definedName name="z_3PODK70133_MO_OS_OtherRevenue">#REF!</definedName>
    <definedName name="z_3PODK70133_MO_OS_OtherSaaSandlicenserevenue">"Deleted"</definedName>
    <definedName name="z_3PODK70133_MO_OS_OtherSaaSandLicenseRevenue_1">#REF!</definedName>
    <definedName name="z_3PODK70133_MO_OS_Othersegmentemployees">#REF!</definedName>
    <definedName name="z_3PODK70133_MO_OS_PreviousGA">#REF!</definedName>
    <definedName name="z_3PODK70133_MO_OS_PreviousRD">#REF!</definedName>
    <definedName name="z_3PODK70133_MO_OS_PreviousSM">#REF!</definedName>
    <definedName name="z_3PODK70133_MO_OS_PrimarySaaSandlicenserevenue">#REF!</definedName>
    <definedName name="z_3PODK70133_MO_OS_QQAverageSaaSRevenuePersubscriberGrowthRate">#REF!</definedName>
    <definedName name="z_3PODK70133_MO_OS_RDChangeinacquiredinprocessRD">#REF!</definedName>
    <definedName name="z_3PODK70133_MO_OS_RDChangeinexternalconsultantsexpenses">#REF!</definedName>
    <definedName name="z_3PODK70133_MO_OS_RDChangeinexternalconsultantsexpensesfromothersegment">#REF!</definedName>
    <definedName name="z_3PODK70133_MO_OS_RDChangeininprocessRD">#REF!</definedName>
    <definedName name="z_3PODK70133_MO_OS_RDChangeinpersonnelrelatedexpenses">#REF!</definedName>
    <definedName name="z_3PODK70133_MO_OS_RDChangeinpersonnelrelatedexpensesduetoadditionofemployeesfromPiperteam">#REF!</definedName>
    <definedName name="z_3PODK70133_MO_OS_RDChangeinpersonnelrelatedexpensesfromOthersegment">#REF!</definedName>
    <definedName name="z_3PODK70133_MO_OS_RDChangeinRDfromothersegment">#REF!</definedName>
    <definedName name="z_3PODK70133_MO_OS_RDChangeinRDfromrenegotiationofacontract">#REF!</definedName>
    <definedName name="z_3PODK70133_MO_OS_RDemployeecount">#REF!</definedName>
    <definedName name="z_3PODK70133_MO_OS_RDOthermarginalcosts">#REF!</definedName>
    <definedName name="z_3PODK70133_MO_OS_RevenuegrowthLTM">#REF!</definedName>
    <definedName name="z_3PODK70133_MO_OS_RevenueLTM">#REF!</definedName>
    <definedName name="z_3PODK70133_MO_OS_saasandlicensecogs">#REF!</definedName>
    <definedName name="z_3PODK70133_MO_OS_saasandlicensegrossmargin">#REF!</definedName>
    <definedName name="z_3PODK70133_MO_OS_saasandlicensegrossprofit">#REF!</definedName>
    <definedName name="z_3PODK70133_MO_OS_saasandlicenserevenue">#REF!</definedName>
    <definedName name="z_3PODK70133_MO_OS_saasandlicenserevenue_1">#REF!</definedName>
    <definedName name="z_3PODK70133_MO_OS_saasandlicenserevenuerenewalrate">#REF!</definedName>
    <definedName name="z_3PODK70133_MO_OS_SMChangeinadvertisingandtradeshowparticipation">#REF!</definedName>
  </definedNames>
  <calcPr calcId="191028" fullCalcOnLoad="1" concurrentCalc="0" concurrentManualCount="4"/>
</workbook>
</file>

<file path=xl/styles.xml><?xml version="1.0" encoding="utf-8"?>
<styleSheet xmlns="http://schemas.openxmlformats.org/spreadsheetml/2006/main">
  <numFmts count="20">
    <numFmt numFmtId="164" formatCode="#\A"/>
    <numFmt numFmtId="165" formatCode="_(&quot;$&quot;* #,##0.00_);_(&quot;$&quot;* \(#,##0.00\);_(&quot;$&quot;* &quot;-&quot;??_);_(@_)"/>
    <numFmt numFmtId="166" formatCode="_(* #,##0.0_);_(* \(#,##0.0\);_(* &quot;-&quot;??_);_(@_)"/>
    <numFmt numFmtId="167" formatCode="_(&quot;$&quot;* #,##0.0_);_(&quot;$&quot;* \(#,##0.0\);_(&quot;$&quot;* &quot;-&quot;_);_(@_)"/>
    <numFmt numFmtId="168" formatCode="_(&quot;$&quot;* #,##0.000_);_(&quot;$&quot;* \(#,##0.000\);_(&quot;$&quot;* &quot;-&quot;???_);_(@_)"/>
    <numFmt numFmtId="169" formatCode="_(&quot;$&quot;* #,##0.0_);_(&quot;$&quot;* \(#,##0.0\);_(&quot;$&quot;* &quot;-&quot;?_);_(@_)"/>
    <numFmt numFmtId="170" formatCode="_(#,##0_);_(\(#,##0\);_(&quot;-&quot;_);_(@_)"/>
    <numFmt numFmtId="171" formatCode="#\E"/>
    <numFmt numFmtId="172" formatCode="0.0%"/>
    <numFmt numFmtId="173" formatCode="0.0"/>
    <numFmt numFmtId="174" formatCode="_([$$-409]* #,##0.00_);_([$$-409]* \(#,##0.00\);_([$$-409]* &quot;-&quot;??_);_(@_)"/>
    <numFmt numFmtId="175" formatCode="_(&quot;$&quot;* #,##0.00_);_(&quot;$&quot;* \(#,##0.00\);_(&quot;$&quot;* &quot;-&quot;_);_(@_)"/>
    <numFmt numFmtId="176" formatCode="0.000"/>
    <numFmt numFmtId="177" formatCode="0.000%"/>
    <numFmt numFmtId="178" formatCode="dd\-mm\-yyyy"/>
    <numFmt numFmtId="179" formatCode="#,##0.0"/>
    <numFmt numFmtId="180" formatCode="[&gt;=100]##,##0.0\%;[&lt;=-100]\-##,##0.0\%;##,##0.0\%"/>
    <numFmt numFmtId="181" formatCode="_(&quot;$&quot;* #,##0.0_);_(&quot;$&quot;* \(#,##0.0\);_(&quot;$&quot;* &quot;-&quot;??_);_(@_)"/>
    <numFmt numFmtId="182" formatCode="&quot;$&quot;#,##0.00_);\(&quot;$&quot;#,##0.00\)"/>
    <numFmt numFmtId="183" formatCode="_(&quot;¥&quot;* #,##0.00_);_(&quot;¥&quot;* \(#,##0.00\);_(&quot;¥&quot;* &quot;-&quot;??_);_(@_)"/>
  </numFmts>
  <fonts count="66">
    <font>
      <name val="Calibri"/>
      <color theme="1"/>
      <sz val="11"/>
      <scheme val="minor"/>
    </font>
    <font>
      <name val="Calibri"/>
      <family val="2"/>
      <color theme="1"/>
      <sz val="12"/>
      <scheme val="minor"/>
    </font>
    <font>
      <name val="Garamond"/>
      <family val="1"/>
      <b val="1"/>
      <color theme="0"/>
      <sz val="11"/>
    </font>
    <font>
      <name val="Garamond"/>
      <family val="1"/>
      <b val="1"/>
      <color theme="1"/>
      <sz val="11"/>
    </font>
    <font>
      <name val="Garamond"/>
      <family val="1"/>
      <i val="1"/>
      <color theme="1"/>
      <sz val="11"/>
    </font>
    <font>
      <name val="Garamond"/>
      <family val="1"/>
      <color theme="1"/>
      <sz val="11"/>
    </font>
    <font>
      <name val="Garamond"/>
      <family val="1"/>
      <color theme="1"/>
      <sz val="22"/>
    </font>
    <font>
      <name val="Garamond"/>
      <family val="1"/>
      <color rgb="FF0000FC"/>
      <sz val="11"/>
    </font>
    <font>
      <name val="Garamond"/>
      <family val="1"/>
      <color rgb="FF000000"/>
      <sz val="11"/>
    </font>
    <font>
      <name val="Garamond"/>
      <family val="1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Garamond"/>
      <family val="1"/>
      <b val="1"/>
      <color theme="1"/>
      <sz val="12"/>
    </font>
    <font>
      <name val="Garamond"/>
      <family val="1"/>
      <b val="1"/>
      <color theme="1"/>
      <sz val="11"/>
      <u val="singleAccounting"/>
    </font>
    <font>
      <name val="Calibri"/>
      <family val="2"/>
      <sz val="11"/>
    </font>
    <font>
      <name val="Calibri"/>
      <family val="2"/>
      <b val="1"/>
      <sz val="11"/>
    </font>
    <font>
      <name val="Garamond"/>
      <family val="1"/>
      <color theme="1"/>
      <sz val="2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Verdana"/>
      <family val="2"/>
      <color theme="1"/>
      <sz val="11"/>
    </font>
    <font>
      <name val="Verdana"/>
      <family val="2"/>
      <color theme="0"/>
      <sz val="11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  <font>
      <name val="Verdana"/>
      <family val="2"/>
      <i val="1"/>
      <color theme="1"/>
      <sz val="11"/>
    </font>
    <font>
      <name val="Verdana"/>
      <family val="2"/>
      <color rgb="FF0000FC"/>
      <sz val="11"/>
    </font>
    <font>
      <name val="Verdana"/>
      <family val="2"/>
      <color rgb="FF000000"/>
      <sz val="10"/>
    </font>
    <font>
      <name val="Verdana"/>
      <family val="2"/>
      <color theme="1"/>
      <sz val="10"/>
    </font>
    <font>
      <name val="Verdana"/>
      <family val="2"/>
      <b val="1"/>
      <color rgb="FF000000"/>
      <sz val="10"/>
      <u val="single"/>
    </font>
    <font>
      <name val="Verdana"/>
      <family val="2"/>
      <i val="1"/>
      <color rgb="FF000000"/>
      <sz val="10"/>
    </font>
    <font>
      <name val="Verdana"/>
      <family val="2"/>
      <i val="1"/>
      <color rgb="FF0000FC"/>
      <sz val="10"/>
    </font>
    <font>
      <name val="Verdana"/>
      <family val="2"/>
      <b val="1"/>
      <color rgb="FF000000"/>
      <sz val="10"/>
    </font>
    <font>
      <name val="Verdana"/>
      <family val="2"/>
      <color rgb="FF0000FC"/>
      <sz val="10"/>
    </font>
    <font>
      <name val="Verdana"/>
      <family val="2"/>
      <b val="1"/>
      <color rgb="FF0000FF"/>
      <sz val="10"/>
    </font>
    <font>
      <name val="Verdana"/>
      <family val="2"/>
      <color rgb="FF0000FF"/>
      <sz val="10"/>
    </font>
    <font>
      <name val="Verdana"/>
      <family val="2"/>
      <i val="1"/>
      <color rgb="FF0000FF"/>
      <sz val="10"/>
    </font>
    <font>
      <name val="Verdana"/>
      <family val="2"/>
      <b val="1"/>
      <color rgb="FFFFFFFF"/>
      <sz val="10"/>
    </font>
    <font>
      <name val="Verdana"/>
      <family val="2"/>
      <color rgb="FFFFFFFF"/>
      <sz val="10"/>
    </font>
    <font>
      <name val="Verdana"/>
      <family val="2"/>
      <b val="1"/>
      <color theme="1"/>
      <sz val="10"/>
    </font>
    <font>
      <name val="Verdana"/>
      <family val="2"/>
      <b val="1"/>
      <color theme="0"/>
      <sz val="12"/>
    </font>
    <font>
      <name val="Verdana"/>
      <family val="2"/>
      <color theme="1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6"/>
    </font>
    <font>
      <name val="Verdana"/>
      <family val="2"/>
      <i val="1"/>
      <color theme="1"/>
      <sz val="14"/>
    </font>
    <font>
      <name val="Verdana"/>
      <family val="2"/>
      <b val="1"/>
      <color theme="1"/>
      <sz val="14"/>
    </font>
    <font>
      <name val="Verdana"/>
      <family val="2"/>
      <color theme="1"/>
      <sz val="14"/>
    </font>
    <font>
      <name val="Verdana"/>
      <family val="2"/>
      <color rgb="FF000000"/>
      <sz val="11"/>
    </font>
    <font>
      <name val="Verdana"/>
      <family val="2"/>
      <sz val="11"/>
    </font>
    <font>
      <name val="Verdana"/>
      <family val="2"/>
      <b val="1"/>
      <color rgb="FF334BFF"/>
      <sz val="10"/>
    </font>
    <font>
      <name val="Verdana"/>
      <family val="2"/>
      <color rgb="FFF5475B"/>
      <sz val="10"/>
    </font>
    <font>
      <name val="Verdana"/>
      <family val="2"/>
      <b val="1"/>
      <color rgb="FFF5475B"/>
      <sz val="10"/>
    </font>
    <font>
      <name val="Verdana"/>
      <family val="2"/>
      <b val="1"/>
      <color rgb="FF000000"/>
      <sz val="11"/>
    </font>
    <font>
      <name val="Verdana"/>
      <family val="2"/>
      <b val="1"/>
      <color rgb="FF0000FC"/>
      <sz val="11"/>
    </font>
    <font>
      <name val="ArialMT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6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FF"/>
      <sz val="11"/>
    </font>
    <font>
      <name val="Arial"/>
      <family val="2"/>
      <color theme="1"/>
      <sz val="11"/>
    </font>
    <font>
      <name val="Arial"/>
      <family val="2"/>
      <color rgb="FF00B050"/>
      <sz val="11"/>
    </font>
    <font>
      <name val="Arial"/>
      <family val="2"/>
      <i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rgb="FF00B050"/>
      <sz val="10"/>
    </font>
    <font>
      <name val="ArialMT"/>
      <family val="2"/>
      <color theme="10"/>
      <sz val="10"/>
      <u val="single"/>
    </font>
    <font>
      <name val="Calibri"/>
      <charset val="134"/>
      <family val="3"/>
      <sz val="9"/>
      <scheme val="minor"/>
    </font>
  </fonts>
  <fills count="28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E699"/>
        <bgColor rgb="FFFFE699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E4E8ED"/>
      </patternFill>
    </fill>
    <fill>
      <patternFill patternType="solid">
        <fgColor rgb="FFADFFFF"/>
      </patternFill>
    </fill>
    <fill>
      <patternFill patternType="solid">
        <fgColor rgb="FFC9EDFF"/>
      </patternFill>
    </fill>
    <fill>
      <patternFill patternType="solid">
        <fgColor rgb="FFF2F3F7"/>
      </patternFill>
    </fill>
    <fill>
      <patternFill patternType="solid">
        <fgColor rgb="FFD0D4DB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649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AC5"/>
        <bgColor indexed="64"/>
      </patternFill>
    </fill>
    <fill>
      <patternFill patternType="solid">
        <fgColor rgb="FF0000FC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rgb="FF000000"/>
      </bottom>
      <diagonal/>
    </border>
    <border>
      <left/>
      <right style="dotted">
        <color auto="1"/>
      </right>
      <top style="thin">
        <color rgb="FF000000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13"/>
    <xf numFmtId="9" fontId="18" fillId="0" borderId="13"/>
    <xf numFmtId="0" fontId="18" fillId="0" borderId="13"/>
    <xf numFmtId="0" fontId="19" fillId="0" borderId="13"/>
    <xf numFmtId="0" fontId="1" fillId="0" borderId="13"/>
    <xf numFmtId="183" fontId="1" fillId="0" borderId="13"/>
    <xf numFmtId="0" fontId="53" fillId="0" borderId="13"/>
    <xf numFmtId="9" fontId="53" fillId="0" borderId="13"/>
    <xf numFmtId="0" fontId="64" fillId="0" borderId="13"/>
  </cellStyleXfs>
  <cellXfs count="6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3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165" fontId="5" fillId="0" borderId="0" pivotButton="0" quotePrefix="0" xfId="0"/>
    <xf numFmtId="0" fontId="5" fillId="0" borderId="4" pivotButton="0" quotePrefix="0" xfId="0"/>
    <xf numFmtId="0" fontId="8" fillId="0" borderId="0" pivotButton="0" quotePrefix="0" xfId="0"/>
    <xf numFmtId="166" fontId="3" fillId="5" borderId="8" applyAlignment="1" pivotButton="0" quotePrefix="0" xfId="0">
      <alignment horizontal="left"/>
    </xf>
    <xf numFmtId="167" fontId="5" fillId="6" borderId="8" pivotButton="0" quotePrefix="0" xfId="0"/>
    <xf numFmtId="167" fontId="8" fillId="6" borderId="8" pivotButton="0" quotePrefix="0" xfId="0"/>
    <xf numFmtId="167" fontId="3" fillId="4" borderId="8" pivotButton="0" quotePrefix="0" xfId="0"/>
    <xf numFmtId="165" fontId="3" fillId="4" borderId="8" pivotButton="0" quotePrefix="0" xfId="0"/>
    <xf numFmtId="167" fontId="5" fillId="5" borderId="8" pivotButton="0" quotePrefix="0" xfId="0"/>
    <xf numFmtId="167" fontId="5" fillId="5" borderId="9" pivotButton="0" quotePrefix="0" xfId="0"/>
    <xf numFmtId="165" fontId="5" fillId="0" borderId="10" pivotButton="0" quotePrefix="0" xfId="0"/>
    <xf numFmtId="10" fontId="5" fillId="0" borderId="0" pivotButton="0" quotePrefix="0" xfId="0"/>
    <xf numFmtId="168" fontId="5" fillId="0" borderId="0" pivotButton="0" quotePrefix="0" xfId="0"/>
    <xf numFmtId="169" fontId="5" fillId="0" borderId="0" pivotButton="0" quotePrefix="0" xfId="0"/>
    <xf numFmtId="0" fontId="0" fillId="0" borderId="0" applyAlignment="1" pivotButton="0" quotePrefix="0" xfId="0">
      <alignment horizontal="left"/>
    </xf>
    <xf numFmtId="170" fontId="14" fillId="0" borderId="0" pivotButton="0" quotePrefix="0" xfId="0"/>
    <xf numFmtId="0" fontId="16" fillId="0" borderId="0" pivotButton="0" quotePrefix="0" xfId="0"/>
    <xf numFmtId="0" fontId="15" fillId="0" borderId="0" applyAlignment="1" pivotButton="0" quotePrefix="0" xfId="0">
      <alignment horizontal="left"/>
    </xf>
    <xf numFmtId="166" fontId="5" fillId="5" borderId="13" applyAlignment="1" pivotButton="0" quotePrefix="0" xfId="0">
      <alignment horizontal="left"/>
    </xf>
    <xf numFmtId="167" fontId="7" fillId="5" borderId="13" pivotButton="0" quotePrefix="0" xfId="0"/>
    <xf numFmtId="167" fontId="7" fillId="5" borderId="4" pivotButton="0" quotePrefix="0" xfId="0"/>
    <xf numFmtId="166" fontId="3" fillId="5" borderId="13" applyAlignment="1" pivotButton="0" quotePrefix="0" xfId="0">
      <alignment horizontal="left"/>
    </xf>
    <xf numFmtId="0" fontId="2" fillId="2" borderId="13" pivotButton="0" quotePrefix="0" xfId="0"/>
    <xf numFmtId="0" fontId="3" fillId="2" borderId="13" applyAlignment="1" pivotButton="0" quotePrefix="0" xfId="0">
      <alignment horizontal="right"/>
    </xf>
    <xf numFmtId="164" fontId="3" fillId="0" borderId="11" applyAlignment="1" pivotButton="0" quotePrefix="0" xfId="0">
      <alignment horizontal="center"/>
    </xf>
    <xf numFmtId="171" fontId="3" fillId="0" borderId="11" applyAlignment="1" pivotButton="0" quotePrefix="0" xfId="0">
      <alignment horizontal="center"/>
    </xf>
    <xf numFmtId="167" fontId="9" fillId="4" borderId="13" pivotButton="0" quotePrefix="0" xfId="0"/>
    <xf numFmtId="167" fontId="9" fillId="4" borderId="4" pivotButton="0" quotePrefix="0" xfId="0"/>
    <xf numFmtId="165" fontId="9" fillId="4" borderId="13" pivotButton="0" quotePrefix="0" xfId="0"/>
    <xf numFmtId="167" fontId="7" fillId="6" borderId="13" pivotButton="0" quotePrefix="0" xfId="0"/>
    <xf numFmtId="167" fontId="8" fillId="6" borderId="13" pivotButton="0" quotePrefix="0" xfId="0"/>
    <xf numFmtId="167" fontId="7" fillId="6" borderId="4" pivotButton="0" quotePrefix="0" xfId="0"/>
    <xf numFmtId="166" fontId="9" fillId="5" borderId="13" applyAlignment="1" pivotButton="0" quotePrefix="0" xfId="0">
      <alignment horizontal="left"/>
    </xf>
    <xf numFmtId="167" fontId="5" fillId="6" borderId="13" pivotButton="0" quotePrefix="0" xfId="0"/>
    <xf numFmtId="167" fontId="5" fillId="6" borderId="4" pivotButton="0" quotePrefix="0" xfId="0"/>
    <xf numFmtId="165" fontId="5" fillId="0" borderId="8" pivotButton="0" quotePrefix="0" xfId="0"/>
    <xf numFmtId="166" fontId="3" fillId="5" borderId="10" applyAlignment="1" pivotButton="0" quotePrefix="0" xfId="0">
      <alignment horizontal="left"/>
    </xf>
    <xf numFmtId="167" fontId="3" fillId="4" borderId="10" pivotButton="0" quotePrefix="0" xfId="0"/>
    <xf numFmtId="167" fontId="3" fillId="4" borderId="12" pivotButton="0" quotePrefix="0" xfId="0"/>
    <xf numFmtId="165" fontId="3" fillId="4" borderId="10" pivotButton="0" quotePrefix="0" xfId="0"/>
    <xf numFmtId="167" fontId="5" fillId="5" borderId="10" pivotButton="0" quotePrefix="0" xfId="0"/>
    <xf numFmtId="167" fontId="5" fillId="5" borderId="12" pivotButton="0" quotePrefix="0" xfId="0"/>
    <xf numFmtId="0" fontId="5" fillId="5" borderId="13" pivotButton="0" quotePrefix="0" xfId="0"/>
    <xf numFmtId="0" fontId="10" fillId="5" borderId="13" applyAlignment="1" pivotButton="0" quotePrefix="0" xfId="0">
      <alignment horizontal="left"/>
    </xf>
    <xf numFmtId="0" fontId="10" fillId="5" borderId="13" pivotButton="0" quotePrefix="0" xfId="0"/>
    <xf numFmtId="10" fontId="10" fillId="5" borderId="13" pivotButton="0" quotePrefix="0" xfId="0"/>
    <xf numFmtId="166" fontId="8" fillId="5" borderId="13" applyAlignment="1" pivotButton="0" quotePrefix="0" xfId="0">
      <alignment horizontal="left"/>
    </xf>
    <xf numFmtId="166" fontId="3" fillId="5" borderId="13" pivotButton="0" quotePrefix="0" xfId="0"/>
    <xf numFmtId="166" fontId="13" fillId="5" borderId="13" applyAlignment="1" pivotButton="0" quotePrefix="0" xfId="0">
      <alignment horizontal="left"/>
    </xf>
    <xf numFmtId="0" fontId="5" fillId="0" borderId="13" pivotButton="0" quotePrefix="0" xfId="0"/>
    <xf numFmtId="0" fontId="2" fillId="9" borderId="13" pivotButton="0" quotePrefix="0" xfId="0"/>
    <xf numFmtId="0" fontId="10" fillId="9" borderId="13" pivotButton="0" quotePrefix="0" xfId="0"/>
    <xf numFmtId="166" fontId="11" fillId="9" borderId="13" pivotButton="0" quotePrefix="0" xfId="0"/>
    <xf numFmtId="0" fontId="5" fillId="9" borderId="13" pivotButton="0" quotePrefix="0" xfId="0"/>
    <xf numFmtId="0" fontId="4" fillId="9" borderId="13" pivotButton="0" quotePrefix="0" xfId="0"/>
    <xf numFmtId="164" fontId="3" fillId="9" borderId="13" applyAlignment="1" pivotButton="0" quotePrefix="0" xfId="0">
      <alignment horizontal="center"/>
    </xf>
    <xf numFmtId="171" fontId="3" fillId="9" borderId="13" applyAlignment="1" pivotButton="0" quotePrefix="0" xfId="0">
      <alignment horizontal="center"/>
    </xf>
    <xf numFmtId="0" fontId="3" fillId="9" borderId="13" pivotButton="0" quotePrefix="0" xfId="0"/>
    <xf numFmtId="10" fontId="5" fillId="9" borderId="13" pivotButton="0" quotePrefix="0" xfId="0"/>
    <xf numFmtId="2" fontId="5" fillId="9" borderId="13" pivotButton="0" quotePrefix="0" xfId="0"/>
    <xf numFmtId="0" fontId="12" fillId="9" borderId="13" applyAlignment="1" pivotButton="0" quotePrefix="0" xfId="0">
      <alignment horizontal="left"/>
    </xf>
    <xf numFmtId="0" fontId="5" fillId="9" borderId="13" applyAlignment="1" pivotButton="0" quotePrefix="0" xfId="0">
      <alignment horizontal="left"/>
    </xf>
    <xf numFmtId="43" fontId="5" fillId="9" borderId="13" pivotButton="0" quotePrefix="0" xfId="0"/>
    <xf numFmtId="10" fontId="5" fillId="9" borderId="13" applyAlignment="1" pivotButton="0" quotePrefix="0" xfId="0">
      <alignment horizontal="right"/>
    </xf>
    <xf numFmtId="0" fontId="20" fillId="0" borderId="0" pivotButton="0" quotePrefix="0" xfId="0"/>
    <xf numFmtId="0" fontId="21" fillId="8" borderId="0" pivotButton="0" quotePrefix="0" xfId="0"/>
    <xf numFmtId="0" fontId="22" fillId="8" borderId="0" pivotButton="0" quotePrefix="0" xfId="0"/>
    <xf numFmtId="0" fontId="20" fillId="0" borderId="19" pivotButton="0" quotePrefix="0" xfId="0"/>
    <xf numFmtId="0" fontId="23" fillId="0" borderId="19" pivotButton="0" quotePrefix="0" xfId="0"/>
    <xf numFmtId="0" fontId="23" fillId="0" borderId="0" pivotButton="0" quotePrefix="0" xfId="0"/>
    <xf numFmtId="0" fontId="20" fillId="0" borderId="13" pivotButton="0" quotePrefix="0" xfId="0"/>
    <xf numFmtId="0" fontId="23" fillId="0" borderId="13" pivotButton="0" quotePrefix="0" xfId="0"/>
    <xf numFmtId="0" fontId="20" fillId="0" borderId="0" applyAlignment="1" pivotButton="0" quotePrefix="0" xfId="0">
      <alignment horizontal="left"/>
    </xf>
    <xf numFmtId="10" fontId="20" fillId="0" borderId="0" applyAlignment="1" pivotButton="0" quotePrefix="0" xfId="0">
      <alignment horizontal="left"/>
    </xf>
    <xf numFmtId="0" fontId="20" fillId="0" borderId="13" applyAlignment="1" pivotButton="0" quotePrefix="0" xfId="0">
      <alignment horizontal="left"/>
    </xf>
    <xf numFmtId="0" fontId="20" fillId="24" borderId="0" applyAlignment="1" pivotButton="0" quotePrefix="0" xfId="0">
      <alignment horizontal="left"/>
    </xf>
    <xf numFmtId="0" fontId="20" fillId="24" borderId="0" pivotButton="0" quotePrefix="0" xfId="0"/>
    <xf numFmtId="0" fontId="24" fillId="0" borderId="0" pivotButton="0" quotePrefix="0" xfId="0"/>
    <xf numFmtId="0" fontId="24" fillId="0" borderId="19" pivotButton="0" quotePrefix="0" xfId="0"/>
    <xf numFmtId="0" fontId="25" fillId="0" borderId="0" pivotButton="0" quotePrefix="0" xfId="0"/>
    <xf numFmtId="10" fontId="25" fillId="0" borderId="13" applyAlignment="1" pivotButton="0" quotePrefix="0" xfId="0">
      <alignment horizontal="left"/>
    </xf>
    <xf numFmtId="10" fontId="25" fillId="0" borderId="0" applyAlignment="1" pivotButton="0" quotePrefix="0" xfId="1">
      <alignment horizontal="left"/>
    </xf>
    <xf numFmtId="0" fontId="25" fillId="0" borderId="0" applyAlignment="1" pivotButton="0" quotePrefix="0" xfId="0">
      <alignment horizontal="left"/>
    </xf>
    <xf numFmtId="10" fontId="25" fillId="0" borderId="0" applyAlignment="1" pivotButton="0" quotePrefix="0" xfId="0">
      <alignment horizontal="left"/>
    </xf>
    <xf numFmtId="0" fontId="20" fillId="0" borderId="18" pivotButton="0" quotePrefix="0" xfId="0"/>
    <xf numFmtId="10" fontId="25" fillId="0" borderId="18" applyAlignment="1" pivotButton="0" quotePrefix="0" xfId="0">
      <alignment horizontal="left"/>
    </xf>
    <xf numFmtId="0" fontId="26" fillId="0" borderId="0" applyAlignment="1" pivotButton="0" quotePrefix="0" xfId="0">
      <alignment horizontal="center"/>
    </xf>
    <xf numFmtId="0" fontId="26" fillId="0" borderId="1" pivotButton="0" quotePrefix="0" xfId="0"/>
    <xf numFmtId="0" fontId="27" fillId="0" borderId="0" pivotButton="0" quotePrefix="0" xfId="0"/>
    <xf numFmtId="49" fontId="26" fillId="0" borderId="0" applyAlignment="1" pivotButton="0" quotePrefix="0" xfId="0">
      <alignment horizontal="center"/>
    </xf>
    <xf numFmtId="0" fontId="22" fillId="2" borderId="13" pivotButton="0" quotePrefix="0" xfId="0"/>
    <xf numFmtId="0" fontId="23" fillId="2" borderId="13" applyAlignment="1" pivotButton="0" quotePrefix="0" xfId="0">
      <alignment horizontal="right"/>
    </xf>
    <xf numFmtId="0" fontId="20" fillId="3" borderId="2" pivotButton="0" quotePrefix="0" xfId="0"/>
    <xf numFmtId="164" fontId="23" fillId="0" borderId="11" applyAlignment="1" pivotButton="0" quotePrefix="0" xfId="0">
      <alignment horizontal="center"/>
    </xf>
    <xf numFmtId="171" fontId="23" fillId="0" borderId="11" applyAlignment="1" pivotButton="0" quotePrefix="0" xfId="0">
      <alignment horizontal="center"/>
    </xf>
    <xf numFmtId="0" fontId="26" fillId="0" borderId="0" pivotButton="0" quotePrefix="0" xfId="0"/>
    <xf numFmtId="0" fontId="26" fillId="0" borderId="8" pivotButton="0" quotePrefix="0" xfId="0"/>
    <xf numFmtId="0" fontId="28" fillId="4" borderId="13" pivotButton="0" quotePrefix="0" xfId="0"/>
    <xf numFmtId="0" fontId="26" fillId="4" borderId="13" pivotButton="0" quotePrefix="0" xfId="0"/>
    <xf numFmtId="0" fontId="20" fillId="0" borderId="0" applyAlignment="1" pivotButton="0" quotePrefix="0" xfId="0">
      <alignment horizontal="right"/>
    </xf>
    <xf numFmtId="166" fontId="20" fillId="5" borderId="13" applyAlignment="1" pivotButton="0" quotePrefix="0" xfId="0">
      <alignment horizontal="left"/>
    </xf>
    <xf numFmtId="167" fontId="25" fillId="5" borderId="13" pivotButton="0" quotePrefix="0" xfId="0"/>
    <xf numFmtId="167" fontId="20" fillId="5" borderId="13" pivotButton="0" quotePrefix="0" xfId="0"/>
    <xf numFmtId="167" fontId="20" fillId="5" borderId="0" pivotButton="0" quotePrefix="0" xfId="0"/>
    <xf numFmtId="0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9" fontId="29" fillId="0" borderId="0" pivotButton="0" quotePrefix="0" xfId="0"/>
    <xf numFmtId="172" fontId="30" fillId="0" borderId="0" pivotButton="0" quotePrefix="0" xfId="0"/>
    <xf numFmtId="0" fontId="31" fillId="0" borderId="8" pivotButton="0" quotePrefix="0" xfId="0"/>
    <xf numFmtId="167" fontId="31" fillId="0" borderId="8" pivotButton="0" quotePrefix="0" xfId="0"/>
    <xf numFmtId="167" fontId="26" fillId="0" borderId="0" pivotButton="0" quotePrefix="0" xfId="0"/>
    <xf numFmtId="10" fontId="26" fillId="0" borderId="0" pivotButton="0" quotePrefix="0" xfId="0"/>
    <xf numFmtId="10" fontId="32" fillId="0" borderId="0" pivotButton="0" quotePrefix="0" xfId="0"/>
    <xf numFmtId="0" fontId="31" fillId="0" borderId="0" pivotButton="0" quotePrefix="0" xfId="0"/>
    <xf numFmtId="9" fontId="26" fillId="0" borderId="0" pivotButton="0" quotePrefix="0" xfId="0"/>
    <xf numFmtId="164" fontId="23" fillId="4" borderId="13" applyAlignment="1" pivotButton="0" quotePrefix="0" xfId="0">
      <alignment horizontal="center"/>
    </xf>
    <xf numFmtId="167" fontId="33" fillId="0" borderId="0" pivotButton="0" quotePrefix="0" xfId="0"/>
    <xf numFmtId="165" fontId="31" fillId="0" borderId="0" pivotButton="0" quotePrefix="0" xfId="0"/>
    <xf numFmtId="172" fontId="26" fillId="0" borderId="0" pivotButton="0" quotePrefix="0" xfId="0"/>
    <xf numFmtId="0" fontId="29" fillId="0" borderId="5" applyAlignment="1" pivotButton="0" quotePrefix="0" xfId="0">
      <alignment horizontal="left"/>
    </xf>
    <xf numFmtId="172" fontId="29" fillId="0" borderId="8" pivotButton="0" quotePrefix="0" xfId="0"/>
    <xf numFmtId="0" fontId="29" fillId="0" borderId="6" applyAlignment="1" pivotButton="0" quotePrefix="0" xfId="0">
      <alignment horizontal="left"/>
    </xf>
    <xf numFmtId="0" fontId="29" fillId="0" borderId="7" applyAlignment="1" pivotButton="0" quotePrefix="0" xfId="0">
      <alignment horizontal="left"/>
    </xf>
    <xf numFmtId="0" fontId="26" fillId="0" borderId="11" pivotButton="0" quotePrefix="0" xfId="0"/>
    <xf numFmtId="172" fontId="29" fillId="0" borderId="11" pivotButton="0" quotePrefix="0" xfId="0"/>
    <xf numFmtId="0" fontId="34" fillId="0" borderId="0" pivotButton="0" quotePrefix="0" xfId="0"/>
    <xf numFmtId="172" fontId="29" fillId="0" borderId="0" pivotButton="0" quotePrefix="0" xfId="0"/>
    <xf numFmtId="172" fontId="35" fillId="0" borderId="0" pivotButton="0" quotePrefix="0" xfId="0"/>
    <xf numFmtId="49" fontId="26" fillId="0" borderId="0" pivotButton="0" quotePrefix="0" xfId="0"/>
    <xf numFmtId="167" fontId="33" fillId="0" borderId="13" pivotButton="0" quotePrefix="0" xfId="0"/>
    <xf numFmtId="167" fontId="31" fillId="0" borderId="0" pivotButton="0" quotePrefix="0" xfId="0"/>
    <xf numFmtId="49" fontId="36" fillId="2" borderId="13" pivotButton="0" quotePrefix="0" xfId="0"/>
    <xf numFmtId="0" fontId="37" fillId="2" borderId="13" pivotButton="0" quotePrefix="0" xfId="0"/>
    <xf numFmtId="49" fontId="29" fillId="0" borderId="0" pivotButton="0" quotePrefix="0" xfId="0"/>
    <xf numFmtId="173" fontId="35" fillId="0" borderId="0" pivotButton="0" quotePrefix="0" xfId="0"/>
    <xf numFmtId="0" fontId="29" fillId="0" borderId="14" applyAlignment="1" pivotButton="0" quotePrefix="0" xfId="0">
      <alignment horizontal="left" indent="2"/>
    </xf>
    <xf numFmtId="0" fontId="29" fillId="0" borderId="15" applyAlignment="1" pivotButton="0" quotePrefix="0" xfId="0">
      <alignment horizontal="left" indent="2"/>
    </xf>
    <xf numFmtId="0" fontId="29" fillId="0" borderId="16" applyAlignment="1" pivotButton="0" quotePrefix="0" xfId="0">
      <alignment horizontal="left" indent="2"/>
    </xf>
    <xf numFmtId="167" fontId="34" fillId="0" borderId="0" pivotButton="0" quotePrefix="0" xfId="0"/>
    <xf numFmtId="167" fontId="27" fillId="0" borderId="0" pivotButton="0" quotePrefix="0" xfId="0"/>
    <xf numFmtId="49" fontId="36" fillId="7" borderId="0" pivotButton="0" quotePrefix="0" xfId="0"/>
    <xf numFmtId="0" fontId="37" fillId="7" borderId="0" pivotButton="0" quotePrefix="0" xfId="0"/>
    <xf numFmtId="171" fontId="23" fillId="0" borderId="13" applyAlignment="1" pivotButton="0" quotePrefix="0" xfId="0">
      <alignment horizontal="center"/>
    </xf>
    <xf numFmtId="0" fontId="28" fillId="10" borderId="0" pivotButton="0" quotePrefix="0" xfId="0"/>
    <xf numFmtId="0" fontId="26" fillId="10" borderId="0" pivotButton="0" quotePrefix="0" xfId="0"/>
    <xf numFmtId="0" fontId="38" fillId="0" borderId="0" pivotButton="0" quotePrefix="0" xfId="0"/>
    <xf numFmtId="169" fontId="27" fillId="0" borderId="0" pivotButton="0" quotePrefix="0" xfId="0"/>
    <xf numFmtId="0" fontId="40" fillId="0" borderId="13" pivotButton="0" quotePrefix="0" xfId="4"/>
    <xf numFmtId="0" fontId="41" fillId="0" borderId="13" pivotButton="0" quotePrefix="0" xfId="4"/>
    <xf numFmtId="0" fontId="41" fillId="0" borderId="13" pivotButton="0" quotePrefix="0" xfId="5"/>
    <xf numFmtId="174" fontId="40" fillId="0" borderId="13" pivotButton="0" quotePrefix="0" xfId="4"/>
    <xf numFmtId="174" fontId="20" fillId="0" borderId="13" pivotButton="0" quotePrefix="0" xfId="5"/>
    <xf numFmtId="0" fontId="20" fillId="0" borderId="13" pivotButton="0" quotePrefix="0" xfId="5"/>
    <xf numFmtId="0" fontId="43" fillId="20" borderId="13" applyAlignment="1" pivotButton="0" quotePrefix="0" xfId="4">
      <alignment horizontal="left"/>
    </xf>
    <xf numFmtId="0" fontId="44" fillId="20" borderId="19" pivotButton="0" quotePrefix="0" xfId="4"/>
    <xf numFmtId="0" fontId="44" fillId="21" borderId="19" pivotButton="0" quotePrefix="0" xfId="4"/>
    <xf numFmtId="0" fontId="44" fillId="22" borderId="13" pivotButton="0" quotePrefix="0" xfId="4"/>
    <xf numFmtId="174" fontId="44" fillId="22" borderId="13" pivotButton="0" quotePrefix="0" xfId="4"/>
    <xf numFmtId="0" fontId="44" fillId="23" borderId="13" pivotButton="0" quotePrefix="0" xfId="4"/>
    <xf numFmtId="0" fontId="45" fillId="20" borderId="13" pivotButton="0" quotePrefix="0" xfId="4"/>
    <xf numFmtId="174" fontId="45" fillId="20" borderId="13" pivotButton="0" quotePrefix="0" xfId="4"/>
    <xf numFmtId="0" fontId="45" fillId="21" borderId="13" pivotButton="0" quotePrefix="0" xfId="4"/>
    <xf numFmtId="174" fontId="45" fillId="20" borderId="13" pivotButton="0" quotePrefix="0" xfId="5"/>
    <xf numFmtId="0" fontId="45" fillId="20" borderId="13" pivotButton="0" quotePrefix="0" xfId="5"/>
    <xf numFmtId="0" fontId="43" fillId="20" borderId="19" pivotButton="0" quotePrefix="0" xfId="4"/>
    <xf numFmtId="0" fontId="45" fillId="20" borderId="19" pivotButton="0" quotePrefix="0" xfId="4"/>
    <xf numFmtId="2" fontId="43" fillId="21" borderId="19" pivotButton="0" quotePrefix="0" xfId="4"/>
    <xf numFmtId="0" fontId="43" fillId="20" borderId="13" pivotButton="0" quotePrefix="0" xfId="4"/>
    <xf numFmtId="2" fontId="43" fillId="21" borderId="13" pivotButton="0" quotePrefix="0" xfId="4"/>
    <xf numFmtId="0" fontId="44" fillId="0" borderId="13" pivotButton="0" quotePrefix="0" xfId="4"/>
    <xf numFmtId="0" fontId="45" fillId="0" borderId="13" pivotButton="0" quotePrefix="0" xfId="4"/>
    <xf numFmtId="0" fontId="23" fillId="8" borderId="0" applyAlignment="1" pivotButton="0" quotePrefix="0" xfId="0">
      <alignment horizontal="right"/>
    </xf>
    <xf numFmtId="164" fontId="23" fillId="0" borderId="19" applyAlignment="1" pivotButton="0" quotePrefix="0" xfId="0">
      <alignment horizontal="center"/>
    </xf>
    <xf numFmtId="164" fontId="23" fillId="0" borderId="20" applyAlignment="1" pivotButton="0" quotePrefix="0" xfId="0">
      <alignment horizontal="center"/>
    </xf>
    <xf numFmtId="171" fontId="23" fillId="0" borderId="19" applyAlignment="1" pivotButton="0" quotePrefix="0" xfId="0">
      <alignment horizontal="center"/>
    </xf>
    <xf numFmtId="167" fontId="46" fillId="9" borderId="13" pivotButton="0" quotePrefix="0" xfId="0"/>
    <xf numFmtId="167" fontId="46" fillId="9" borderId="0" pivotButton="0" quotePrefix="0" xfId="0"/>
    <xf numFmtId="167" fontId="46" fillId="9" borderId="14" pivotButton="0" quotePrefix="0" xfId="0"/>
    <xf numFmtId="167" fontId="46" fillId="9" borderId="15" pivotButton="0" quotePrefix="0" xfId="0"/>
    <xf numFmtId="167" fontId="25" fillId="9" borderId="0" pivotButton="0" quotePrefix="0" xfId="0"/>
    <xf numFmtId="167" fontId="46" fillId="9" borderId="4" pivotButton="0" quotePrefix="0" xfId="0"/>
    <xf numFmtId="175" fontId="46" fillId="9" borderId="13" pivotButton="0" quotePrefix="0" xfId="0"/>
    <xf numFmtId="175" fontId="46" fillId="9" borderId="0" pivotButton="0" quotePrefix="0" xfId="0"/>
    <xf numFmtId="0" fontId="20" fillId="0" borderId="0" applyAlignment="1" pivotButton="0" quotePrefix="0" xfId="0">
      <alignment horizontal="left" indent="1"/>
    </xf>
    <xf numFmtId="0" fontId="23" fillId="0" borderId="18" pivotButton="0" quotePrefix="0" xfId="0"/>
    <xf numFmtId="165" fontId="20" fillId="0" borderId="8" pivotButton="0" quotePrefix="0" xfId="0"/>
    <xf numFmtId="165" fontId="20" fillId="0" borderId="9" pivotButton="0" quotePrefix="0" xfId="0"/>
    <xf numFmtId="0" fontId="20" fillId="0" borderId="4" pivotButton="0" quotePrefix="0" xfId="0"/>
    <xf numFmtId="2" fontId="20" fillId="0" borderId="13" pivotButton="0" quotePrefix="0" xfId="0"/>
    <xf numFmtId="2" fontId="20" fillId="0" borderId="0" pivotButton="0" quotePrefix="0" xfId="0"/>
    <xf numFmtId="9" fontId="20" fillId="0" borderId="0" pivotButton="0" quotePrefix="0" xfId="0"/>
    <xf numFmtId="165" fontId="20" fillId="0" borderId="0" pivotButton="0" quotePrefix="0" xfId="0"/>
    <xf numFmtId="9" fontId="20" fillId="0" borderId="4" pivotButton="0" quotePrefix="0" xfId="0"/>
    <xf numFmtId="174" fontId="20" fillId="0" borderId="13" pivotButton="0" quotePrefix="0" xfId="0"/>
    <xf numFmtId="174" fontId="20" fillId="0" borderId="0" pivotButton="0" quotePrefix="0" xfId="0"/>
    <xf numFmtId="0" fontId="47" fillId="8" borderId="0" pivotButton="0" quotePrefix="0" xfId="0"/>
    <xf numFmtId="0" fontId="20" fillId="8" borderId="0" pivotButton="0" quotePrefix="0" xfId="0"/>
    <xf numFmtId="10" fontId="20" fillId="0" borderId="0" pivotButton="0" quotePrefix="0" xfId="0"/>
    <xf numFmtId="172" fontId="20" fillId="0" borderId="0" pivotButton="0" quotePrefix="0" xfId="0"/>
    <xf numFmtId="4" fontId="20" fillId="0" borderId="0" pivotButton="0" quotePrefix="0" xfId="0"/>
    <xf numFmtId="10" fontId="20" fillId="0" borderId="13" pivotButton="0" quotePrefix="0" xfId="1"/>
    <xf numFmtId="10" fontId="20" fillId="0" borderId="13" pivotButton="0" quotePrefix="0" xfId="1"/>
    <xf numFmtId="0" fontId="26" fillId="0" borderId="13" applyAlignment="1" pivotButton="0" quotePrefix="0" xfId="0">
      <alignment horizontal="center"/>
    </xf>
    <xf numFmtId="165" fontId="20" fillId="0" borderId="13" pivotButton="0" quotePrefix="0" xfId="0"/>
    <xf numFmtId="172" fontId="23" fillId="0" borderId="18" pivotButton="0" quotePrefix="0" xfId="0"/>
    <xf numFmtId="0" fontId="31" fillId="0" borderId="0" applyAlignment="1" pivotButton="0" quotePrefix="0" xfId="0">
      <alignment horizontal="center"/>
    </xf>
    <xf numFmtId="176" fontId="38" fillId="0" borderId="0" applyAlignment="1" pivotButton="0" quotePrefix="0" xfId="2">
      <alignment wrapText="1"/>
    </xf>
    <xf numFmtId="176" fontId="38" fillId="0" borderId="13" applyAlignment="1" pivotButton="0" quotePrefix="0" xfId="2">
      <alignment wrapText="1"/>
    </xf>
    <xf numFmtId="0" fontId="20" fillId="0" borderId="0" pivotButton="0" quotePrefix="0" xfId="2"/>
    <xf numFmtId="176" fontId="38" fillId="11" borderId="18" applyAlignment="1" pivotButton="0" quotePrefix="0" xfId="2">
      <alignment wrapText="1"/>
    </xf>
    <xf numFmtId="176" fontId="38" fillId="11" borderId="21" applyAlignment="1" pivotButton="0" quotePrefix="0" xfId="2">
      <alignment wrapText="1"/>
    </xf>
    <xf numFmtId="176" fontId="38" fillId="11" borderId="22" applyAlignment="1" pivotButton="0" quotePrefix="0" xfId="2">
      <alignment wrapText="1"/>
    </xf>
    <xf numFmtId="176" fontId="38" fillId="11" borderId="23" applyAlignment="1" pivotButton="0" quotePrefix="0" xfId="2">
      <alignment wrapText="1"/>
    </xf>
    <xf numFmtId="176" fontId="38" fillId="11" borderId="24" applyAlignment="1" pivotButton="0" quotePrefix="0" xfId="2">
      <alignment wrapText="1"/>
    </xf>
    <xf numFmtId="176" fontId="38" fillId="11" borderId="19" applyAlignment="1" pivotButton="0" quotePrefix="0" xfId="2">
      <alignment wrapText="1"/>
    </xf>
    <xf numFmtId="176" fontId="38" fillId="12" borderId="24" applyAlignment="1" pivotButton="0" quotePrefix="0" xfId="2">
      <alignment wrapText="1"/>
    </xf>
    <xf numFmtId="176" fontId="38" fillId="13" borderId="24" applyAlignment="1" pivotButton="0" quotePrefix="0" xfId="2">
      <alignment wrapText="1"/>
    </xf>
    <xf numFmtId="176" fontId="38" fillId="14" borderId="24" applyAlignment="1" pivotButton="0" quotePrefix="0" xfId="2">
      <alignment horizontal="left"/>
    </xf>
    <xf numFmtId="176" fontId="38" fillId="14" borderId="24" applyAlignment="1" pivotButton="0" quotePrefix="0" xfId="2">
      <alignment horizontal="right"/>
    </xf>
    <xf numFmtId="176" fontId="38" fillId="13" borderId="24" applyAlignment="1" pivotButton="0" quotePrefix="0" xfId="2">
      <alignment horizontal="right"/>
    </xf>
    <xf numFmtId="176" fontId="38" fillId="11" borderId="24" applyAlignment="1" pivotButton="0" quotePrefix="0" xfId="2">
      <alignment horizontal="left"/>
    </xf>
    <xf numFmtId="176" fontId="38" fillId="11" borderId="24" applyAlignment="1" pivotButton="0" quotePrefix="0" xfId="2">
      <alignment horizontal="right"/>
    </xf>
    <xf numFmtId="0" fontId="20" fillId="0" borderId="13" pivotButton="0" quotePrefix="0" xfId="2"/>
    <xf numFmtId="9" fontId="38" fillId="11" borderId="24" applyAlignment="1" pivotButton="0" quotePrefix="0" xfId="1">
      <alignment horizontal="right"/>
    </xf>
    <xf numFmtId="10" fontId="38" fillId="13" borderId="24" applyAlignment="1" pivotButton="0" quotePrefix="0" xfId="1">
      <alignment horizontal="right"/>
    </xf>
    <xf numFmtId="176" fontId="38" fillId="11" borderId="17" applyAlignment="1" pivotButton="0" quotePrefix="0" xfId="2">
      <alignment horizontal="left"/>
    </xf>
    <xf numFmtId="10" fontId="20" fillId="0" borderId="13" pivotButton="0" quotePrefix="0" xfId="2"/>
    <xf numFmtId="10" fontId="20" fillId="0" borderId="0" pivotButton="0" quotePrefix="0" xfId="2"/>
    <xf numFmtId="176" fontId="38" fillId="11" borderId="13" applyAlignment="1" pivotButton="0" quotePrefix="0" xfId="2">
      <alignment horizontal="left"/>
    </xf>
    <xf numFmtId="9" fontId="38" fillId="11" borderId="13" applyAlignment="1" pivotButton="0" quotePrefix="0" xfId="1">
      <alignment horizontal="right"/>
    </xf>
    <xf numFmtId="9" fontId="38" fillId="13" borderId="13" applyAlignment="1" pivotButton="0" quotePrefix="0" xfId="1">
      <alignment horizontal="right"/>
    </xf>
    <xf numFmtId="9" fontId="38" fillId="13" borderId="24" applyAlignment="1" pivotButton="0" quotePrefix="0" xfId="1">
      <alignment horizontal="right"/>
    </xf>
    <xf numFmtId="176" fontId="38" fillId="11" borderId="13" applyAlignment="1" pivotButton="0" quotePrefix="0" xfId="2">
      <alignment horizontal="right"/>
    </xf>
    <xf numFmtId="10" fontId="38" fillId="13" borderId="13" applyAlignment="1" pivotButton="0" quotePrefix="0" xfId="2">
      <alignment horizontal="right"/>
    </xf>
    <xf numFmtId="10" fontId="38" fillId="11" borderId="13" applyAlignment="1" pivotButton="0" quotePrefix="0" xfId="2">
      <alignment horizontal="right"/>
    </xf>
    <xf numFmtId="10" fontId="38" fillId="11" borderId="24" applyAlignment="1" pivotButton="0" quotePrefix="0" xfId="2">
      <alignment horizontal="right"/>
    </xf>
    <xf numFmtId="172" fontId="38" fillId="13" borderId="13" applyAlignment="1" pivotButton="0" quotePrefix="0" xfId="1">
      <alignment horizontal="right"/>
    </xf>
    <xf numFmtId="10" fontId="38" fillId="0" borderId="0" pivotButton="0" quotePrefix="0" xfId="0"/>
    <xf numFmtId="176" fontId="38" fillId="11" borderId="23" applyAlignment="1" pivotButton="0" quotePrefix="0" xfId="2">
      <alignment horizontal="left"/>
    </xf>
    <xf numFmtId="10" fontId="38" fillId="11" borderId="24" applyAlignment="1" pivotButton="0" quotePrefix="0" xfId="1">
      <alignment horizontal="right"/>
    </xf>
    <xf numFmtId="172" fontId="38" fillId="13" borderId="24" applyAlignment="1" pivotButton="0" quotePrefix="0" xfId="1">
      <alignment horizontal="right"/>
    </xf>
    <xf numFmtId="165" fontId="20" fillId="0" borderId="0" pivotButton="0" quotePrefix="0" xfId="2"/>
    <xf numFmtId="177" fontId="38" fillId="14" borderId="24" applyAlignment="1" pivotButton="0" quotePrefix="0" xfId="2">
      <alignment horizontal="right"/>
    </xf>
    <xf numFmtId="177" fontId="38" fillId="13" borderId="24" applyAlignment="1" pivotButton="0" quotePrefix="0" xfId="2">
      <alignment horizontal="right"/>
    </xf>
    <xf numFmtId="0" fontId="36" fillId="16" borderId="25" pivotButton="0" quotePrefix="0" xfId="3"/>
    <xf numFmtId="0" fontId="37" fillId="16" borderId="25" pivotButton="0" quotePrefix="0" xfId="3"/>
    <xf numFmtId="0" fontId="26" fillId="0" borderId="0" pivotButton="0" quotePrefix="0" xfId="3"/>
    <xf numFmtId="0" fontId="48" fillId="0" borderId="0" pivotButton="0" quotePrefix="0" xfId="3"/>
    <xf numFmtId="0" fontId="46" fillId="0" borderId="0" pivotButton="0" quotePrefix="0" xfId="3"/>
    <xf numFmtId="178" fontId="26" fillId="0" borderId="0" applyAlignment="1" pivotButton="0" quotePrefix="0" xfId="3">
      <alignment horizontal="left"/>
    </xf>
    <xf numFmtId="0" fontId="37" fillId="16" borderId="26" pivotButton="0" quotePrefix="0" xfId="3"/>
    <xf numFmtId="0" fontId="26" fillId="0" borderId="27" applyAlignment="1" pivotButton="0" quotePrefix="0" xfId="3">
      <alignment horizontal="left" vertical="center"/>
    </xf>
    <xf numFmtId="0" fontId="37" fillId="16" borderId="26" applyAlignment="1" pivotButton="0" quotePrefix="0" xfId="3">
      <alignment wrapText="1"/>
    </xf>
    <xf numFmtId="0" fontId="37" fillId="16" borderId="26" applyAlignment="1" pivotButton="0" quotePrefix="0" xfId="3">
      <alignment horizontal="left" vertical="center" wrapText="1"/>
    </xf>
    <xf numFmtId="0" fontId="31" fillId="17" borderId="27" applyAlignment="1" pivotButton="0" quotePrefix="0" xfId="3">
      <alignment horizontal="left" vertical="center" wrapText="1"/>
    </xf>
    <xf numFmtId="0" fontId="46" fillId="17" borderId="27" applyAlignment="1" pivotButton="0" quotePrefix="0" xfId="3">
      <alignment wrapText="1"/>
    </xf>
    <xf numFmtId="0" fontId="26" fillId="0" borderId="27" applyAlignment="1" pivotButton="0" quotePrefix="0" xfId="3">
      <alignment vertical="center" wrapText="1"/>
    </xf>
    <xf numFmtId="179" fontId="26" fillId="0" borderId="27" applyAlignment="1" pivotButton="0" quotePrefix="0" xfId="3">
      <alignment horizontal="right" vertical="center" wrapText="1"/>
    </xf>
    <xf numFmtId="4" fontId="26" fillId="0" borderId="27" applyAlignment="1" pivotButton="0" quotePrefix="0" xfId="3">
      <alignment horizontal="right" vertical="center" wrapText="1"/>
    </xf>
    <xf numFmtId="0" fontId="26" fillId="0" borderId="27" applyAlignment="1" pivotButton="0" quotePrefix="0" xfId="3">
      <alignment horizontal="left" vertical="center" wrapText="1" indent="2"/>
    </xf>
    <xf numFmtId="4" fontId="49" fillId="0" borderId="27" applyAlignment="1" pivotButton="0" quotePrefix="0" xfId="3">
      <alignment horizontal="right" vertical="center" wrapText="1"/>
    </xf>
    <xf numFmtId="0" fontId="26" fillId="0" borderId="27" applyAlignment="1" pivotButton="0" quotePrefix="0" xfId="3">
      <alignment horizontal="left" vertical="center" wrapText="1" indent="4"/>
    </xf>
    <xf numFmtId="3" fontId="26" fillId="0" borderId="27" applyAlignment="1" pivotButton="0" quotePrefix="0" xfId="3">
      <alignment horizontal="right" vertical="center" wrapText="1"/>
    </xf>
    <xf numFmtId="179" fontId="49" fillId="0" borderId="27" applyAlignment="1" pivotButton="0" quotePrefix="0" xfId="3">
      <alignment horizontal="right" vertical="center" wrapText="1"/>
    </xf>
    <xf numFmtId="0" fontId="31" fillId="0" borderId="27" applyAlignment="1" pivotButton="0" quotePrefix="0" xfId="3">
      <alignment vertical="center" wrapText="1"/>
    </xf>
    <xf numFmtId="179" fontId="31" fillId="0" borderId="27" applyAlignment="1" pivotButton="0" quotePrefix="0" xfId="3">
      <alignment horizontal="right" vertical="center" wrapText="1"/>
    </xf>
    <xf numFmtId="179" fontId="50" fillId="0" borderId="27" applyAlignment="1" pivotButton="0" quotePrefix="0" xfId="3">
      <alignment horizontal="right" vertical="center" wrapText="1"/>
    </xf>
    <xf numFmtId="4" fontId="50" fillId="0" borderId="27" applyAlignment="1" pivotButton="0" quotePrefix="0" xfId="3">
      <alignment horizontal="right" vertical="center" wrapText="1"/>
    </xf>
    <xf numFmtId="4" fontId="31" fillId="0" borderId="27" applyAlignment="1" pivotButton="0" quotePrefix="0" xfId="3">
      <alignment horizontal="right" vertical="center" wrapText="1"/>
    </xf>
    <xf numFmtId="10" fontId="23" fillId="0" borderId="18" pivotButton="0" quotePrefix="0" xfId="0"/>
    <xf numFmtId="0" fontId="26" fillId="0" borderId="27" applyAlignment="1" pivotButton="0" quotePrefix="0" xfId="3">
      <alignment horizontal="left" vertical="center" wrapText="1" indent="6"/>
    </xf>
    <xf numFmtId="0" fontId="26" fillId="0" borderId="27" applyAlignment="1" pivotButton="0" quotePrefix="0" xfId="3">
      <alignment horizontal="left" vertical="center" wrapText="1" indent="8"/>
    </xf>
    <xf numFmtId="180" fontId="26" fillId="0" borderId="27" applyAlignment="1" pivotButton="0" quotePrefix="0" xfId="3">
      <alignment horizontal="right" vertical="center" wrapText="1"/>
    </xf>
    <xf numFmtId="167" fontId="34" fillId="0" borderId="13" pivotButton="0" quotePrefix="0" xfId="0"/>
    <xf numFmtId="172" fontId="29" fillId="0" borderId="13" pivotButton="0" quotePrefix="0" xfId="0"/>
    <xf numFmtId="0" fontId="27" fillId="0" borderId="13" pivotButton="0" quotePrefix="0" xfId="0"/>
    <xf numFmtId="172" fontId="30" fillId="0" borderId="13" pivotButton="0" quotePrefix="0" xfId="0"/>
    <xf numFmtId="172" fontId="30" fillId="0" borderId="11" pivotButton="0" quotePrefix="0" xfId="0"/>
    <xf numFmtId="10" fontId="32" fillId="0" borderId="13" pivotButton="0" quotePrefix="0" xfId="0"/>
    <xf numFmtId="0" fontId="26" fillId="0" borderId="13" pivotButton="0" quotePrefix="0" xfId="0"/>
    <xf numFmtId="9" fontId="26" fillId="0" borderId="13" pivotButton="0" quotePrefix="0" xfId="0"/>
    <xf numFmtId="165" fontId="31" fillId="0" borderId="13" pivotButton="0" quotePrefix="0" xfId="0"/>
    <xf numFmtId="172" fontId="26" fillId="0" borderId="13" pivotButton="0" quotePrefix="0" xfId="0"/>
    <xf numFmtId="167" fontId="31" fillId="0" borderId="13" pivotButton="0" quotePrefix="0" xfId="0"/>
    <xf numFmtId="10" fontId="26" fillId="0" borderId="13" pivotButton="0" quotePrefix="0" xfId="0"/>
    <xf numFmtId="0" fontId="37" fillId="7" borderId="13" pivotButton="0" quotePrefix="0" xfId="0"/>
    <xf numFmtId="0" fontId="26" fillId="10" borderId="13" pivotButton="0" quotePrefix="0" xfId="0"/>
    <xf numFmtId="169" fontId="27" fillId="0" borderId="13" pivotButton="0" quotePrefix="0" xfId="0"/>
    <xf numFmtId="164" fontId="23" fillId="0" borderId="32" applyAlignment="1" pivotButton="0" quotePrefix="0" xfId="0">
      <alignment horizontal="center"/>
    </xf>
    <xf numFmtId="0" fontId="26" fillId="0" borderId="33" pivotButton="0" quotePrefix="0" xfId="0"/>
    <xf numFmtId="0" fontId="26" fillId="4" borderId="31" pivotButton="0" quotePrefix="0" xfId="0"/>
    <xf numFmtId="167" fontId="20" fillId="5" borderId="31" pivotButton="0" quotePrefix="0" xfId="0"/>
    <xf numFmtId="9" fontId="29" fillId="0" borderId="31" pivotButton="0" quotePrefix="0" xfId="0"/>
    <xf numFmtId="167" fontId="31" fillId="0" borderId="33" pivotButton="0" quotePrefix="0" xfId="0"/>
    <xf numFmtId="10" fontId="26" fillId="0" borderId="31" pivotButton="0" quotePrefix="0" xfId="0"/>
    <xf numFmtId="167" fontId="26" fillId="0" borderId="31" pivotButton="0" quotePrefix="0" xfId="0"/>
    <xf numFmtId="9" fontId="26" fillId="0" borderId="31" pivotButton="0" quotePrefix="0" xfId="0"/>
    <xf numFmtId="0" fontId="26" fillId="0" borderId="31" pivotButton="0" quotePrefix="0" xfId="0"/>
    <xf numFmtId="164" fontId="23" fillId="4" borderId="31" applyAlignment="1" pivotButton="0" quotePrefix="0" xfId="0">
      <alignment horizontal="center"/>
    </xf>
    <xf numFmtId="167" fontId="33" fillId="0" borderId="31" pivotButton="0" quotePrefix="0" xfId="0"/>
    <xf numFmtId="172" fontId="29" fillId="0" borderId="33" pivotButton="0" quotePrefix="0" xfId="0"/>
    <xf numFmtId="172" fontId="29" fillId="0" borderId="31" pivotButton="0" quotePrefix="0" xfId="0"/>
    <xf numFmtId="172" fontId="29" fillId="0" borderId="32" pivotButton="0" quotePrefix="0" xfId="0"/>
    <xf numFmtId="172" fontId="35" fillId="0" borderId="31" pivotButton="0" quotePrefix="0" xfId="0"/>
    <xf numFmtId="172" fontId="26" fillId="0" borderId="31" pivotButton="0" quotePrefix="0" xfId="0"/>
    <xf numFmtId="0" fontId="37" fillId="2" borderId="31" pivotButton="0" quotePrefix="0" xfId="0"/>
    <xf numFmtId="164" fontId="23" fillId="0" borderId="34" applyAlignment="1" pivotButton="0" quotePrefix="0" xfId="0">
      <alignment horizontal="center"/>
    </xf>
    <xf numFmtId="0" fontId="27" fillId="0" borderId="31" pivotButton="0" quotePrefix="0" xfId="0"/>
    <xf numFmtId="172" fontId="29" fillId="0" borderId="34" pivotButton="0" quotePrefix="0" xfId="0"/>
    <xf numFmtId="167" fontId="34" fillId="0" borderId="31" pivotButton="0" quotePrefix="0" xfId="0"/>
    <xf numFmtId="0" fontId="37" fillId="7" borderId="31" pivotButton="0" quotePrefix="0" xfId="0"/>
    <xf numFmtId="171" fontId="23" fillId="0" borderId="31" applyAlignment="1" pivotButton="0" quotePrefix="0" xfId="0">
      <alignment horizontal="center"/>
    </xf>
    <xf numFmtId="0" fontId="26" fillId="10" borderId="31" pivotButton="0" quotePrefix="0" xfId="0"/>
    <xf numFmtId="181" fontId="20" fillId="0" borderId="18" pivotButton="0" quotePrefix="0" xfId="0"/>
    <xf numFmtId="181" fontId="20" fillId="0" borderId="0" pivotButton="0" quotePrefix="0" xfId="0"/>
    <xf numFmtId="181" fontId="23" fillId="0" borderId="18" pivotButton="0" quotePrefix="0" xfId="0"/>
    <xf numFmtId="181" fontId="20" fillId="0" borderId="13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right"/>
    </xf>
    <xf numFmtId="0" fontId="23" fillId="0" borderId="13" applyAlignment="1" pivotButton="0" quotePrefix="0" xfId="0">
      <alignment horizontal="right"/>
    </xf>
    <xf numFmtId="164" fontId="23" fillId="0" borderId="28" applyAlignment="1" pivotButton="0" quotePrefix="0" xfId="0">
      <alignment horizontal="center"/>
    </xf>
    <xf numFmtId="166" fontId="23" fillId="5" borderId="13" applyAlignment="1" pivotButton="0" quotePrefix="0" xfId="0">
      <alignment horizontal="left"/>
    </xf>
    <xf numFmtId="167" fontId="46" fillId="5" borderId="13" pivotButton="0" quotePrefix="0" xfId="0"/>
    <xf numFmtId="167" fontId="46" fillId="5" borderId="17" pivotButton="0" quotePrefix="0" xfId="0"/>
    <xf numFmtId="167" fontId="46" fillId="5" borderId="0" pivotButton="0" quotePrefix="0" xfId="0"/>
    <xf numFmtId="9" fontId="21" fillId="0" borderId="0" applyAlignment="1" pivotButton="0" quotePrefix="0" xfId="0">
      <alignment horizontal="right"/>
    </xf>
    <xf numFmtId="9" fontId="20" fillId="5" borderId="13" applyAlignment="1" pivotButton="0" quotePrefix="0" xfId="0">
      <alignment horizontal="left"/>
    </xf>
    <xf numFmtId="9" fontId="25" fillId="5" borderId="13" pivotButton="0" quotePrefix="0" xfId="0"/>
    <xf numFmtId="10" fontId="46" fillId="5" borderId="13" pivotButton="0" quotePrefix="0" xfId="0"/>
    <xf numFmtId="10" fontId="46" fillId="5" borderId="17" pivotButton="0" quotePrefix="0" xfId="0"/>
    <xf numFmtId="10" fontId="46" fillId="5" borderId="0" pivotButton="0" quotePrefix="0" xfId="0"/>
    <xf numFmtId="9" fontId="25" fillId="0" borderId="13" pivotButton="0" quotePrefix="0" xfId="0"/>
    <xf numFmtId="9" fontId="20" fillId="0" borderId="13" pivotButton="0" quotePrefix="0" xfId="0"/>
    <xf numFmtId="165" fontId="46" fillId="5" borderId="13" pivotButton="0" quotePrefix="0" xfId="0"/>
    <xf numFmtId="165" fontId="46" fillId="5" borderId="17" pivotButton="0" quotePrefix="0" xfId="0"/>
    <xf numFmtId="165" fontId="46" fillId="5" borderId="0" pivotButton="0" quotePrefix="0" xfId="0"/>
    <xf numFmtId="9" fontId="46" fillId="5" borderId="13" pivotButton="0" quotePrefix="0" xfId="0"/>
    <xf numFmtId="9" fontId="46" fillId="5" borderId="17" pivotButton="0" quotePrefix="0" xfId="0"/>
    <xf numFmtId="9" fontId="46" fillId="5" borderId="0" pivotButton="0" quotePrefix="0" xfId="0"/>
    <xf numFmtId="9" fontId="23" fillId="5" borderId="13" applyAlignment="1" pivotButton="0" quotePrefix="0" xfId="0">
      <alignment horizontal="left"/>
    </xf>
    <xf numFmtId="165" fontId="51" fillId="5" borderId="13" pivotButton="0" quotePrefix="0" xfId="0"/>
    <xf numFmtId="165" fontId="51" fillId="5" borderId="17" pivotButton="0" quotePrefix="0" xfId="0"/>
    <xf numFmtId="165" fontId="51" fillId="5" borderId="0" pivotButton="0" quotePrefix="0" xfId="0"/>
    <xf numFmtId="9" fontId="52" fillId="0" borderId="13" pivotButton="0" quotePrefix="0" xfId="0"/>
    <xf numFmtId="166" fontId="23" fillId="5" borderId="0" applyAlignment="1" pivotButton="0" quotePrefix="0" xfId="0">
      <alignment horizontal="left"/>
    </xf>
    <xf numFmtId="167" fontId="25" fillId="5" borderId="0" pivotButton="0" quotePrefix="0" xfId="0"/>
    <xf numFmtId="167" fontId="51" fillId="5" borderId="0" pivotButton="0" quotePrefix="0" xfId="0"/>
    <xf numFmtId="167" fontId="51" fillId="5" borderId="17" pivotButton="0" quotePrefix="0" xfId="0"/>
    <xf numFmtId="167" fontId="51" fillId="5" borderId="13" pivotButton="0" quotePrefix="0" xfId="0"/>
    <xf numFmtId="166" fontId="23" fillId="5" borderId="8" applyAlignment="1" pivotButton="0" quotePrefix="0" xfId="0">
      <alignment horizontal="left"/>
    </xf>
    <xf numFmtId="167" fontId="23" fillId="4" borderId="8" pivotButton="0" quotePrefix="0" xfId="0"/>
    <xf numFmtId="167" fontId="51" fillId="4" borderId="8" pivotButton="0" quotePrefix="0" xfId="0"/>
    <xf numFmtId="167" fontId="51" fillId="4" borderId="29" pivotButton="0" quotePrefix="0" xfId="0"/>
    <xf numFmtId="181" fontId="23" fillId="0" borderId="13" pivotButton="0" quotePrefix="0" xfId="0"/>
    <xf numFmtId="165" fontId="23" fillId="0" borderId="13" pivotButton="0" quotePrefix="0" xfId="0"/>
    <xf numFmtId="9" fontId="21" fillId="0" borderId="13" applyAlignment="1" pivotButton="0" quotePrefix="0" xfId="0">
      <alignment horizontal="right"/>
    </xf>
    <xf numFmtId="9" fontId="25" fillId="5" borderId="0" pivotButton="0" quotePrefix="0" xfId="0"/>
    <xf numFmtId="9" fontId="26" fillId="0" borderId="17" pivotButton="0" quotePrefix="0" xfId="0"/>
    <xf numFmtId="167" fontId="20" fillId="5" borderId="8" pivotButton="0" quotePrefix="0" xfId="0"/>
    <xf numFmtId="167" fontId="20" fillId="5" borderId="29" pivotButton="0" quotePrefix="0" xfId="0"/>
    <xf numFmtId="167" fontId="20" fillId="0" borderId="13" pivotButton="0" quotePrefix="0" xfId="0"/>
    <xf numFmtId="167" fontId="51" fillId="4" borderId="13" pivotButton="0" quotePrefix="0" xfId="0"/>
    <xf numFmtId="167" fontId="51" fillId="4" borderId="17" pivotButton="0" quotePrefix="0" xfId="0"/>
    <xf numFmtId="167" fontId="51" fillId="4" borderId="0" pivotButton="0" quotePrefix="0" xfId="0"/>
    <xf numFmtId="165" fontId="51" fillId="0" borderId="13" pivotButton="0" quotePrefix="0" xfId="0"/>
    <xf numFmtId="167" fontId="20" fillId="4" borderId="13" pivotButton="0" quotePrefix="0" xfId="0"/>
    <xf numFmtId="167" fontId="20" fillId="0" borderId="17" pivotButton="0" quotePrefix="0" xfId="0"/>
    <xf numFmtId="165" fontId="46" fillId="0" borderId="13" pivotButton="0" quotePrefix="0" xfId="0"/>
    <xf numFmtId="167" fontId="23" fillId="18" borderId="13" pivotButton="0" quotePrefix="0" xfId="0"/>
    <xf numFmtId="165" fontId="51" fillId="18" borderId="13" pivotButton="0" quotePrefix="0" xfId="0"/>
    <xf numFmtId="167" fontId="23" fillId="18" borderId="17" pivotButton="0" quotePrefix="0" xfId="0"/>
    <xf numFmtId="167" fontId="20" fillId="4" borderId="0" pivotButton="0" quotePrefix="0" xfId="0"/>
    <xf numFmtId="0" fontId="23" fillId="2" borderId="0" applyAlignment="1" pivotButton="0" quotePrefix="0" xfId="0">
      <alignment horizontal="right"/>
    </xf>
    <xf numFmtId="0" fontId="54" fillId="0" borderId="13" pivotButton="0" quotePrefix="0" xfId="6"/>
    <xf numFmtId="0" fontId="55" fillId="5" borderId="13" pivotButton="0" quotePrefix="0" xfId="6"/>
    <xf numFmtId="0" fontId="56" fillId="0" borderId="13" pivotButton="0" quotePrefix="0" xfId="6"/>
    <xf numFmtId="0" fontId="57" fillId="0" borderId="13" pivotButton="0" quotePrefix="0" xfId="6"/>
    <xf numFmtId="0" fontId="56" fillId="0" borderId="14" pivotButton="0" quotePrefix="0" xfId="6"/>
    <xf numFmtId="0" fontId="56" fillId="0" borderId="18" pivotButton="0" quotePrefix="0" xfId="6"/>
    <xf numFmtId="0" fontId="54" fillId="0" borderId="18" pivotButton="0" quotePrefix="0" xfId="6"/>
    <xf numFmtId="0" fontId="54" fillId="0" borderId="35" pivotButton="0" quotePrefix="0" xfId="6"/>
    <xf numFmtId="0" fontId="58" fillId="0" borderId="15" pivotButton="0" quotePrefix="0" xfId="6"/>
    <xf numFmtId="0" fontId="54" fillId="0" borderId="17" pivotButton="0" quotePrefix="0" xfId="6"/>
    <xf numFmtId="0" fontId="58" fillId="25" borderId="15" pivotButton="0" quotePrefix="0" xfId="6"/>
    <xf numFmtId="0" fontId="58" fillId="25" borderId="13" pivotButton="0" quotePrefix="0" xfId="6"/>
    <xf numFmtId="0" fontId="56" fillId="25" borderId="13" pivotButton="0" quotePrefix="0" xfId="6"/>
    <xf numFmtId="0" fontId="56" fillId="26" borderId="13" pivotButton="0" quotePrefix="0" xfId="6"/>
    <xf numFmtId="0" fontId="54" fillId="26" borderId="13" pivotButton="0" quotePrefix="0" xfId="6"/>
    <xf numFmtId="0" fontId="54" fillId="26" borderId="17" pivotButton="0" quotePrefix="0" xfId="6"/>
    <xf numFmtId="0" fontId="59" fillId="25" borderId="15" pivotButton="0" quotePrefix="0" xfId="6"/>
    <xf numFmtId="0" fontId="60" fillId="0" borderId="16" pivotButton="0" quotePrefix="0" xfId="6"/>
    <xf numFmtId="0" fontId="56" fillId="0" borderId="19" pivotButton="0" quotePrefix="0" xfId="6"/>
    <xf numFmtId="0" fontId="54" fillId="0" borderId="19" pivotButton="0" quotePrefix="0" xfId="6"/>
    <xf numFmtId="0" fontId="54" fillId="0" borderId="30" pivotButton="0" quotePrefix="0" xfId="6"/>
    <xf numFmtId="0" fontId="60" fillId="0" borderId="13" pivotButton="0" quotePrefix="0" xfId="6"/>
    <xf numFmtId="0" fontId="61" fillId="0" borderId="13" pivotButton="0" quotePrefix="0" xfId="6"/>
    <xf numFmtId="182" fontId="63" fillId="0" borderId="13" applyAlignment="1" pivotButton="0" quotePrefix="0" xfId="6">
      <alignment horizontal="right"/>
    </xf>
    <xf numFmtId="9" fontId="54" fillId="0" borderId="13" applyAlignment="1" pivotButton="0" quotePrefix="0" xfId="7">
      <alignment horizontal="right"/>
    </xf>
    <xf numFmtId="0" fontId="62" fillId="27" borderId="13" pivotButton="0" quotePrefix="0" xfId="6"/>
    <xf numFmtId="9" fontId="62" fillId="27" borderId="13" pivotButton="0" quotePrefix="0" xfId="6"/>
    <xf numFmtId="172" fontId="54" fillId="0" borderId="13" applyAlignment="1" pivotButton="0" quotePrefix="0" xfId="7">
      <alignment horizontal="right"/>
    </xf>
    <xf numFmtId="0" fontId="42" fillId="20" borderId="13" applyAlignment="1" pivotButton="0" quotePrefix="0" xfId="4">
      <alignment horizontal="left"/>
    </xf>
    <xf numFmtId="0" fontId="44" fillId="20" borderId="13" applyAlignment="1" pivotButton="0" quotePrefix="0" xfId="4">
      <alignment horizontal="center"/>
    </xf>
    <xf numFmtId="0" fontId="44" fillId="20" borderId="19" applyAlignment="1" pivotButton="0" quotePrefix="0" xfId="4">
      <alignment horizontal="center"/>
    </xf>
    <xf numFmtId="0" fontId="39" fillId="19" borderId="13" applyAlignment="1" pivotButton="0" quotePrefix="0" xfId="4">
      <alignment horizontal="center"/>
    </xf>
    <xf numFmtId="0" fontId="41" fillId="0" borderId="13" applyAlignment="1" pivotButton="0" quotePrefix="0" xfId="4">
      <alignment horizontal="left"/>
    </xf>
    <xf numFmtId="0" fontId="40" fillId="0" borderId="13" applyAlignment="1" pivotButton="0" quotePrefix="0" xfId="4">
      <alignment horizontal="left"/>
    </xf>
    <xf numFmtId="0" fontId="43" fillId="20" borderId="13" applyAlignment="1" pivotButton="0" quotePrefix="0" xfId="4">
      <alignment horizontal="left"/>
    </xf>
    <xf numFmtId="176" fontId="38" fillId="15" borderId="24" pivotButton="0" quotePrefix="0" xfId="2"/>
    <xf numFmtId="176" fontId="38" fillId="0" borderId="0" applyAlignment="1" pivotButton="0" quotePrefix="0" xfId="2">
      <alignment wrapText="1"/>
    </xf>
    <xf numFmtId="176" fontId="27" fillId="0" borderId="0" applyAlignment="1" pivotButton="0" quotePrefix="0" xfId="2">
      <alignment wrapText="1"/>
    </xf>
    <xf numFmtId="176" fontId="38" fillId="11" borderId="24" applyAlignment="1" pivotButton="0" quotePrefix="0" xfId="2">
      <alignment wrapText="1"/>
    </xf>
    <xf numFmtId="176" fontId="38" fillId="11" borderId="24" applyAlignment="1" pivotButton="0" quotePrefix="0" xfId="2">
      <alignment horizontal="left"/>
    </xf>
    <xf numFmtId="176" fontId="38" fillId="11" borderId="24" applyAlignment="1" pivotButton="0" quotePrefix="0" xfId="2">
      <alignment horizontal="right"/>
    </xf>
    <xf numFmtId="176" fontId="38" fillId="13" borderId="24" applyAlignment="1" pivotButton="0" quotePrefix="0" xfId="2">
      <alignment horizontal="right"/>
    </xf>
    <xf numFmtId="0" fontId="26" fillId="0" borderId="27" applyAlignment="1" pivotButton="0" quotePrefix="0" xfId="3">
      <alignment horizontal="center" vertical="center" wrapText="1"/>
    </xf>
    <xf numFmtId="178" fontId="26" fillId="0" borderId="27" applyAlignment="1" pivotButton="0" quotePrefix="0" xfId="3">
      <alignment horizontal="center" vertical="center" wrapText="1"/>
    </xf>
    <xf numFmtId="0" fontId="37" fillId="16" borderId="26" applyAlignment="1" pivotButton="0" quotePrefix="0" xfId="3">
      <alignment horizontal="center" vertical="center" wrapText="1"/>
    </xf>
    <xf numFmtId="182" fontId="63" fillId="0" borderId="13" applyAlignment="1" pivotButton="0" quotePrefix="0" xfId="6">
      <alignment horizontal="right"/>
    </xf>
    <xf numFmtId="172" fontId="54" fillId="0" borderId="13" applyAlignment="1" pivotButton="0" quotePrefix="0" xfId="7">
      <alignment horizontal="right"/>
    </xf>
    <xf numFmtId="164" fontId="23" fillId="0" borderId="19" applyAlignment="1" pivotButton="0" quotePrefix="0" xfId="0">
      <alignment horizontal="center"/>
    </xf>
    <xf numFmtId="164" fontId="23" fillId="0" borderId="20" applyAlignment="1" pivotButton="0" quotePrefix="0" xfId="0">
      <alignment horizontal="center"/>
    </xf>
    <xf numFmtId="171" fontId="23" fillId="0" borderId="19" applyAlignment="1" pivotButton="0" quotePrefix="0" xfId="0">
      <alignment horizontal="center"/>
    </xf>
    <xf numFmtId="167" fontId="46" fillId="9" borderId="13" pivotButton="0" quotePrefix="0" xfId="0"/>
    <xf numFmtId="167" fontId="46" fillId="9" borderId="0" pivotButton="0" quotePrefix="0" xfId="0"/>
    <xf numFmtId="167" fontId="46" fillId="9" borderId="14" pivotButton="0" quotePrefix="0" xfId="0"/>
    <xf numFmtId="167" fontId="46" fillId="9" borderId="15" pivotButton="0" quotePrefix="0" xfId="0"/>
    <xf numFmtId="167" fontId="25" fillId="9" borderId="0" pivotButton="0" quotePrefix="0" xfId="0"/>
    <xf numFmtId="167" fontId="46" fillId="9" borderId="4" pivotButton="0" quotePrefix="0" xfId="0"/>
    <xf numFmtId="175" fontId="46" fillId="9" borderId="13" pivotButton="0" quotePrefix="0" xfId="0"/>
    <xf numFmtId="175" fontId="46" fillId="9" borderId="0" pivotButton="0" quotePrefix="0" xfId="0"/>
    <xf numFmtId="165" fontId="20" fillId="0" borderId="8" pivotButton="0" quotePrefix="0" xfId="0"/>
    <xf numFmtId="165" fontId="20" fillId="0" borderId="9" pivotButton="0" quotePrefix="0" xfId="0"/>
    <xf numFmtId="165" fontId="20" fillId="0" borderId="0" pivotButton="0" quotePrefix="0" xfId="0"/>
    <xf numFmtId="174" fontId="20" fillId="0" borderId="13" pivotButton="0" quotePrefix="0" xfId="0"/>
    <xf numFmtId="174" fontId="20" fillId="0" borderId="0" pivotButton="0" quotePrefix="0" xfId="0"/>
    <xf numFmtId="172" fontId="20" fillId="0" borderId="0" pivotButton="0" quotePrefix="0" xfId="0"/>
    <xf numFmtId="181" fontId="20" fillId="0" borderId="18" pivotButton="0" quotePrefix="0" xfId="0"/>
    <xf numFmtId="181" fontId="20" fillId="0" borderId="0" pivotButton="0" quotePrefix="0" xfId="0"/>
    <xf numFmtId="181" fontId="23" fillId="0" borderId="18" pivotButton="0" quotePrefix="0" xfId="0"/>
    <xf numFmtId="181" fontId="20" fillId="0" borderId="13" pivotButton="0" quotePrefix="0" xfId="0"/>
    <xf numFmtId="172" fontId="23" fillId="0" borderId="18" pivotButton="0" quotePrefix="0" xfId="0"/>
    <xf numFmtId="164" fontId="23" fillId="0" borderId="11" applyAlignment="1" pivotButton="0" quotePrefix="0" xfId="0">
      <alignment horizontal="center"/>
    </xf>
    <xf numFmtId="164" fontId="23" fillId="0" borderId="28" applyAlignment="1" pivotButton="0" quotePrefix="0" xfId="0">
      <alignment horizontal="center"/>
    </xf>
    <xf numFmtId="171" fontId="23" fillId="0" borderId="11" applyAlignment="1" pivotButton="0" quotePrefix="0" xfId="0">
      <alignment horizontal="center"/>
    </xf>
    <xf numFmtId="171" fontId="23" fillId="0" borderId="13" applyAlignment="1" pivotButton="0" quotePrefix="0" xfId="0">
      <alignment horizontal="center"/>
    </xf>
    <xf numFmtId="166" fontId="23" fillId="5" borderId="13" applyAlignment="1" pivotButton="0" quotePrefix="0" xfId="0">
      <alignment horizontal="left"/>
    </xf>
    <xf numFmtId="167" fontId="25" fillId="5" borderId="13" pivotButton="0" quotePrefix="0" xfId="0"/>
    <xf numFmtId="167" fontId="25" fillId="5" borderId="0" pivotButton="0" quotePrefix="0" xfId="0"/>
    <xf numFmtId="167" fontId="46" fillId="5" borderId="13" pivotButton="0" quotePrefix="0" xfId="0"/>
    <xf numFmtId="167" fontId="46" fillId="5" borderId="17" pivotButton="0" quotePrefix="0" xfId="0"/>
    <xf numFmtId="165" fontId="20" fillId="0" borderId="13" pivotButton="0" quotePrefix="0" xfId="0"/>
    <xf numFmtId="166" fontId="20" fillId="5" borderId="13" applyAlignment="1" pivotButton="0" quotePrefix="0" xfId="0">
      <alignment horizontal="left"/>
    </xf>
    <xf numFmtId="167" fontId="46" fillId="5" borderId="0" pivotButton="0" quotePrefix="0" xfId="0"/>
    <xf numFmtId="165" fontId="46" fillId="5" borderId="13" pivotButton="0" quotePrefix="0" xfId="0"/>
    <xf numFmtId="165" fontId="46" fillId="5" borderId="17" pivotButton="0" quotePrefix="0" xfId="0"/>
    <xf numFmtId="165" fontId="46" fillId="5" borderId="0" pivotButton="0" quotePrefix="0" xfId="0"/>
    <xf numFmtId="165" fontId="51" fillId="5" borderId="13" pivotButton="0" quotePrefix="0" xfId="0"/>
    <xf numFmtId="165" fontId="51" fillId="5" borderId="17" pivotButton="0" quotePrefix="0" xfId="0"/>
    <xf numFmtId="165" fontId="51" fillId="5" borderId="0" pivotButton="0" quotePrefix="0" xfId="0"/>
    <xf numFmtId="166" fontId="23" fillId="5" borderId="0" applyAlignment="1" pivotButton="0" quotePrefix="0" xfId="0">
      <alignment horizontal="left"/>
    </xf>
    <xf numFmtId="167" fontId="51" fillId="5" borderId="0" pivotButton="0" quotePrefix="0" xfId="0"/>
    <xf numFmtId="167" fontId="51" fillId="5" borderId="17" pivotButton="0" quotePrefix="0" xfId="0"/>
    <xf numFmtId="167" fontId="51" fillId="5" borderId="13" pivotButton="0" quotePrefix="0" xfId="0"/>
    <xf numFmtId="166" fontId="23" fillId="5" borderId="8" applyAlignment="1" pivotButton="0" quotePrefix="0" xfId="0">
      <alignment horizontal="left"/>
    </xf>
    <xf numFmtId="167" fontId="23" fillId="4" borderId="8" pivotButton="0" quotePrefix="0" xfId="0"/>
    <xf numFmtId="167" fontId="51" fillId="4" borderId="8" pivotButton="0" quotePrefix="0" xfId="0"/>
    <xf numFmtId="167" fontId="51" fillId="4" borderId="29" pivotButton="0" quotePrefix="0" xfId="0"/>
    <xf numFmtId="181" fontId="23" fillId="0" borderId="13" pivotButton="0" quotePrefix="0" xfId="0"/>
    <xf numFmtId="165" fontId="23" fillId="0" borderId="13" pivotButton="0" quotePrefix="0" xfId="0"/>
    <xf numFmtId="167" fontId="20" fillId="4" borderId="13" pivotButton="0" quotePrefix="0" xfId="0"/>
    <xf numFmtId="167" fontId="20" fillId="4" borderId="0" pivotButton="0" quotePrefix="0" xfId="0"/>
    <xf numFmtId="167" fontId="20" fillId="0" borderId="13" pivotButton="0" quotePrefix="0" xfId="0"/>
    <xf numFmtId="167" fontId="20" fillId="0" borderId="17" pivotButton="0" quotePrefix="0" xfId="0"/>
    <xf numFmtId="165" fontId="46" fillId="0" borderId="13" pivotButton="0" quotePrefix="0" xfId="0"/>
    <xf numFmtId="167" fontId="23" fillId="18" borderId="13" pivotButton="0" quotePrefix="0" xfId="0"/>
    <xf numFmtId="167" fontId="23" fillId="18" borderId="17" pivotButton="0" quotePrefix="0" xfId="0"/>
    <xf numFmtId="165" fontId="51" fillId="18" borderId="13" pivotButton="0" quotePrefix="0" xfId="0"/>
    <xf numFmtId="172" fontId="26" fillId="0" borderId="13" pivotButton="0" quotePrefix="0" xfId="0"/>
    <xf numFmtId="172" fontId="26" fillId="0" borderId="0" pivotButton="0" quotePrefix="0" xfId="0"/>
    <xf numFmtId="167" fontId="20" fillId="5" borderId="8" pivotButton="0" quotePrefix="0" xfId="0"/>
    <xf numFmtId="167" fontId="20" fillId="5" borderId="29" pivotButton="0" quotePrefix="0" xfId="0"/>
    <xf numFmtId="167" fontId="51" fillId="4" borderId="13" pivotButton="0" quotePrefix="0" xfId="0"/>
    <xf numFmtId="167" fontId="51" fillId="4" borderId="0" pivotButton="0" quotePrefix="0" xfId="0"/>
    <xf numFmtId="167" fontId="51" fillId="4" borderId="17" pivotButton="0" quotePrefix="0" xfId="0"/>
    <xf numFmtId="165" fontId="51" fillId="0" borderId="13" pivotButton="0" quotePrefix="0" xfId="0"/>
    <xf numFmtId="164" fontId="23" fillId="0" borderId="32" applyAlignment="1" pivotButton="0" quotePrefix="0" xfId="0">
      <alignment horizontal="center"/>
    </xf>
    <xf numFmtId="167" fontId="20" fillId="5" borderId="13" pivotButton="0" quotePrefix="0" xfId="0"/>
    <xf numFmtId="167" fontId="20" fillId="5" borderId="31" pivotButton="0" quotePrefix="0" xfId="0"/>
    <xf numFmtId="167" fontId="20" fillId="5" borderId="0" pivotButton="0" quotePrefix="0" xfId="0"/>
    <xf numFmtId="172" fontId="30" fillId="0" borderId="13" pivotButton="0" quotePrefix="0" xfId="0"/>
    <xf numFmtId="172" fontId="30" fillId="0" borderId="0" pivotButton="0" quotePrefix="0" xfId="0"/>
    <xf numFmtId="172" fontId="30" fillId="0" borderId="11" pivotButton="0" quotePrefix="0" xfId="0"/>
    <xf numFmtId="167" fontId="31" fillId="0" borderId="8" pivotButton="0" quotePrefix="0" xfId="0"/>
    <xf numFmtId="167" fontId="31" fillId="0" borderId="33" pivotButton="0" quotePrefix="0" xfId="0"/>
    <xf numFmtId="167" fontId="26" fillId="0" borderId="0" pivotButton="0" quotePrefix="0" xfId="0"/>
    <xf numFmtId="167" fontId="26" fillId="0" borderId="31" pivotButton="0" quotePrefix="0" xfId="0"/>
    <xf numFmtId="164" fontId="23" fillId="4" borderId="13" applyAlignment="1" pivotButton="0" quotePrefix="0" xfId="0">
      <alignment horizontal="center"/>
    </xf>
    <xf numFmtId="164" fontId="23" fillId="4" borderId="31" applyAlignment="1" pivotButton="0" quotePrefix="0" xfId="0">
      <alignment horizontal="center"/>
    </xf>
    <xf numFmtId="167" fontId="33" fillId="0" borderId="0" pivotButton="0" quotePrefix="0" xfId="0"/>
    <xf numFmtId="167" fontId="33" fillId="0" borderId="31" pivotButton="0" quotePrefix="0" xfId="0"/>
    <xf numFmtId="165" fontId="31" fillId="0" borderId="13" pivotButton="0" quotePrefix="0" xfId="0"/>
    <xf numFmtId="165" fontId="31" fillId="0" borderId="0" pivotButton="0" quotePrefix="0" xfId="0"/>
    <xf numFmtId="172" fontId="29" fillId="0" borderId="33" pivotButton="0" quotePrefix="0" xfId="0"/>
    <xf numFmtId="172" fontId="29" fillId="0" borderId="8" pivotButton="0" quotePrefix="0" xfId="0"/>
    <xf numFmtId="172" fontId="29" fillId="0" borderId="31" pivotButton="0" quotePrefix="0" xfId="0"/>
    <xf numFmtId="172" fontId="29" fillId="0" borderId="32" pivotButton="0" quotePrefix="0" xfId="0"/>
    <xf numFmtId="172" fontId="29" fillId="0" borderId="11" pivotButton="0" quotePrefix="0" xfId="0"/>
    <xf numFmtId="172" fontId="35" fillId="0" borderId="31" pivotButton="0" quotePrefix="0" xfId="0"/>
    <xf numFmtId="172" fontId="29" fillId="0" borderId="13" pivotButton="0" quotePrefix="0" xfId="0"/>
    <xf numFmtId="172" fontId="35" fillId="0" borderId="0" pivotButton="0" quotePrefix="0" xfId="0"/>
    <xf numFmtId="172" fontId="26" fillId="0" borderId="31" pivotButton="0" quotePrefix="0" xfId="0"/>
    <xf numFmtId="167" fontId="33" fillId="0" borderId="13" pivotButton="0" quotePrefix="0" xfId="0"/>
    <xf numFmtId="167" fontId="31" fillId="0" borderId="13" pivotButton="0" quotePrefix="0" xfId="0"/>
    <xf numFmtId="167" fontId="31" fillId="0" borderId="0" pivotButton="0" quotePrefix="0" xfId="0"/>
    <xf numFmtId="172" fontId="29" fillId="0" borderId="0" pivotButton="0" quotePrefix="0" xfId="0"/>
    <xf numFmtId="164" fontId="23" fillId="0" borderId="34" applyAlignment="1" pivotButton="0" quotePrefix="0" xfId="0">
      <alignment horizontal="center"/>
    </xf>
    <xf numFmtId="173" fontId="35" fillId="0" borderId="0" pivotButton="0" quotePrefix="0" xfId="0"/>
    <xf numFmtId="172" fontId="29" fillId="0" borderId="34" pivotButton="0" quotePrefix="0" xfId="0"/>
    <xf numFmtId="167" fontId="34" fillId="0" borderId="0" pivotButton="0" quotePrefix="0" xfId="0"/>
    <xf numFmtId="167" fontId="34" fillId="0" borderId="31" pivotButton="0" quotePrefix="0" xfId="0"/>
    <xf numFmtId="167" fontId="34" fillId="0" borderId="13" pivotButton="0" quotePrefix="0" xfId="0"/>
    <xf numFmtId="167" fontId="27" fillId="0" borderId="0" pivotButton="0" quotePrefix="0" xfId="0"/>
    <xf numFmtId="171" fontId="23" fillId="0" borderId="31" applyAlignment="1" pivotButton="0" quotePrefix="0" xfId="0">
      <alignment horizontal="center"/>
    </xf>
    <xf numFmtId="169" fontId="27" fillId="0" borderId="13" pivotButton="0" quotePrefix="0" xfId="0"/>
    <xf numFmtId="169" fontId="27" fillId="0" borderId="0" pivotButton="0" quotePrefix="0" xfId="0"/>
    <xf numFmtId="174" fontId="40" fillId="0" borderId="13" pivotButton="0" quotePrefix="0" xfId="4"/>
    <xf numFmtId="174" fontId="20" fillId="0" borderId="13" pivotButton="0" quotePrefix="0" xfId="5"/>
    <xf numFmtId="0" fontId="0" fillId="0" borderId="19" pivotButton="0" quotePrefix="0" xfId="0"/>
    <xf numFmtId="174" fontId="44" fillId="22" borderId="13" pivotButton="0" quotePrefix="0" xfId="4"/>
    <xf numFmtId="174" fontId="45" fillId="20" borderId="13" pivotButton="0" quotePrefix="0" xfId="4"/>
    <xf numFmtId="174" fontId="45" fillId="20" borderId="13" pivotButton="0" quotePrefix="0" xfId="5"/>
    <xf numFmtId="176" fontId="38" fillId="0" borderId="0" applyAlignment="1" pivotButton="0" quotePrefix="0" xfId="2">
      <alignment wrapText="1"/>
    </xf>
    <xf numFmtId="176" fontId="38" fillId="0" borderId="13" applyAlignment="1" pivotButton="0" quotePrefix="0" xfId="2">
      <alignment wrapText="1"/>
    </xf>
    <xf numFmtId="176" fontId="27" fillId="0" borderId="13" applyAlignment="1" pivotButton="0" quotePrefix="0" xfId="2">
      <alignment wrapText="1"/>
    </xf>
    <xf numFmtId="176" fontId="38" fillId="11" borderId="18" applyAlignment="1" pivotButton="0" quotePrefix="0" xfId="2">
      <alignment wrapText="1"/>
    </xf>
    <xf numFmtId="176" fontId="38" fillId="11" borderId="21" applyAlignment="1" pivotButton="0" quotePrefix="0" xfId="2">
      <alignment wrapText="1"/>
    </xf>
    <xf numFmtId="176" fontId="38" fillId="11" borderId="22" applyAlignment="1" pivotButton="0" quotePrefix="0" xfId="2">
      <alignment wrapText="1"/>
    </xf>
    <xf numFmtId="176" fontId="38" fillId="11" borderId="23" applyAlignment="1" pivotButton="0" quotePrefix="0" xfId="2">
      <alignment wrapText="1"/>
    </xf>
    <xf numFmtId="176" fontId="38" fillId="11" borderId="24" applyAlignment="1" pivotButton="0" quotePrefix="0" xfId="2">
      <alignment wrapText="1"/>
    </xf>
    <xf numFmtId="0" fontId="0" fillId="0" borderId="22" pivotButton="0" quotePrefix="0" xfId="0"/>
    <xf numFmtId="0" fontId="0" fillId="0" borderId="23" pivotButton="0" quotePrefix="0" xfId="0"/>
    <xf numFmtId="176" fontId="38" fillId="11" borderId="19" applyAlignment="1" pivotButton="0" quotePrefix="0" xfId="2">
      <alignment wrapText="1"/>
    </xf>
    <xf numFmtId="176" fontId="38" fillId="12" borderId="24" applyAlignment="1" pivotButton="0" quotePrefix="0" xfId="2">
      <alignment wrapText="1"/>
    </xf>
    <xf numFmtId="176" fontId="38" fillId="13" borderId="24" applyAlignment="1" pivotButton="0" quotePrefix="0" xfId="2">
      <alignment wrapText="1"/>
    </xf>
    <xf numFmtId="176" fontId="38" fillId="14" borderId="24" applyAlignment="1" pivotButton="0" quotePrefix="0" xfId="2">
      <alignment horizontal="left"/>
    </xf>
    <xf numFmtId="176" fontId="38" fillId="14" borderId="24" applyAlignment="1" pivotButton="0" quotePrefix="0" xfId="2">
      <alignment horizontal="right"/>
    </xf>
    <xf numFmtId="176" fontId="38" fillId="13" borderId="24" applyAlignment="1" pivotButton="0" quotePrefix="0" xfId="2">
      <alignment horizontal="right"/>
    </xf>
    <xf numFmtId="176" fontId="38" fillId="11" borderId="24" applyAlignment="1" pivotButton="0" quotePrefix="0" xfId="2">
      <alignment horizontal="left"/>
    </xf>
    <xf numFmtId="176" fontId="38" fillId="11" borderId="24" applyAlignment="1" pivotButton="0" quotePrefix="0" xfId="2">
      <alignment horizontal="right"/>
    </xf>
    <xf numFmtId="176" fontId="38" fillId="11" borderId="17" applyAlignment="1" pivotButton="0" quotePrefix="0" xfId="2">
      <alignment horizontal="left"/>
    </xf>
    <xf numFmtId="176" fontId="38" fillId="11" borderId="13" applyAlignment="1" pivotButton="0" quotePrefix="0" xfId="2">
      <alignment horizontal="left"/>
    </xf>
    <xf numFmtId="176" fontId="38" fillId="11" borderId="13" applyAlignment="1" pivotButton="0" quotePrefix="0" xfId="2">
      <alignment horizontal="right"/>
    </xf>
    <xf numFmtId="172" fontId="38" fillId="13" borderId="13" applyAlignment="1" pivotButton="0" quotePrefix="0" xfId="1">
      <alignment horizontal="right"/>
    </xf>
    <xf numFmtId="176" fontId="38" fillId="11" borderId="23" applyAlignment="1" pivotButton="0" quotePrefix="0" xfId="2">
      <alignment horizontal="left"/>
    </xf>
    <xf numFmtId="172" fontId="38" fillId="13" borderId="24" applyAlignment="1" pivotButton="0" quotePrefix="0" xfId="1">
      <alignment horizontal="right"/>
    </xf>
    <xf numFmtId="165" fontId="20" fillId="0" borderId="0" pivotButton="0" quotePrefix="0" xfId="2"/>
    <xf numFmtId="177" fontId="38" fillId="14" borderId="24" applyAlignment="1" pivotButton="0" quotePrefix="0" xfId="2">
      <alignment horizontal="right"/>
    </xf>
    <xf numFmtId="177" fontId="38" fillId="13" borderId="24" applyAlignment="1" pivotButton="0" quotePrefix="0" xfId="2">
      <alignment horizontal="right"/>
    </xf>
    <xf numFmtId="176" fontId="38" fillId="15" borderId="24" pivotButton="0" quotePrefix="0" xfId="2"/>
    <xf numFmtId="178" fontId="26" fillId="0" borderId="0" applyAlignment="1" pivotButton="0" quotePrefix="0" xfId="3">
      <alignment horizontal="left"/>
    </xf>
    <xf numFmtId="178" fontId="26" fillId="0" borderId="27" applyAlignment="1" pivotButton="0" quotePrefix="0" xfId="3">
      <alignment horizontal="center" vertical="center" wrapText="1"/>
    </xf>
    <xf numFmtId="179" fontId="26" fillId="0" borderId="27" applyAlignment="1" pivotButton="0" quotePrefix="0" xfId="3">
      <alignment horizontal="right" vertical="center" wrapText="1"/>
    </xf>
    <xf numFmtId="179" fontId="49" fillId="0" borderId="27" applyAlignment="1" pivotButton="0" quotePrefix="0" xfId="3">
      <alignment horizontal="right" vertical="center" wrapText="1"/>
    </xf>
    <xf numFmtId="179" fontId="31" fillId="0" borderId="27" applyAlignment="1" pivotButton="0" quotePrefix="0" xfId="3">
      <alignment horizontal="right" vertical="center" wrapText="1"/>
    </xf>
    <xf numFmtId="179" fontId="50" fillId="0" borderId="27" applyAlignment="1" pivotButton="0" quotePrefix="0" xfId="3">
      <alignment horizontal="right" vertical="center" wrapText="1"/>
    </xf>
    <xf numFmtId="180" fontId="26" fillId="0" borderId="27" applyAlignment="1" pivotButton="0" quotePrefix="0" xfId="3">
      <alignment horizontal="right" vertical="center" wrapText="1"/>
    </xf>
    <xf numFmtId="164" fontId="3" fillId="0" borderId="11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171" fontId="3" fillId="0" borderId="11" applyAlignment="1" pivotButton="0" quotePrefix="0" xfId="0">
      <alignment horizontal="center"/>
    </xf>
    <xf numFmtId="166" fontId="3" fillId="5" borderId="13" applyAlignment="1" pivotButton="0" quotePrefix="0" xfId="0">
      <alignment horizontal="left"/>
    </xf>
    <xf numFmtId="166" fontId="5" fillId="5" borderId="13" applyAlignment="1" pivotButton="0" quotePrefix="0" xfId="0">
      <alignment horizontal="left"/>
    </xf>
    <xf numFmtId="167" fontId="7" fillId="6" borderId="13" pivotButton="0" quotePrefix="0" xfId="0"/>
    <xf numFmtId="167" fontId="8" fillId="6" borderId="13" pivotButton="0" quotePrefix="0" xfId="0"/>
    <xf numFmtId="167" fontId="7" fillId="6" borderId="4" pivotButton="0" quotePrefix="0" xfId="0"/>
    <xf numFmtId="170" fontId="14" fillId="0" borderId="0" pivotButton="0" quotePrefix="0" xfId="0"/>
    <xf numFmtId="166" fontId="9" fillId="5" borderId="13" applyAlignment="1" pivotButton="0" quotePrefix="0" xfId="0">
      <alignment horizontal="left"/>
    </xf>
    <xf numFmtId="167" fontId="5" fillId="6" borderId="13" pivotButton="0" quotePrefix="0" xfId="0"/>
    <xf numFmtId="167" fontId="5" fillId="6" borderId="4" pivotButton="0" quotePrefix="0" xfId="0"/>
    <xf numFmtId="167" fontId="7" fillId="5" borderId="13" pivotButton="0" quotePrefix="0" xfId="0"/>
    <xf numFmtId="167" fontId="7" fillId="5" borderId="4" pivotButton="0" quotePrefix="0" xfId="0"/>
    <xf numFmtId="165" fontId="5" fillId="0" borderId="0" pivotButton="0" quotePrefix="0" xfId="0"/>
    <xf numFmtId="166" fontId="3" fillId="5" borderId="8" applyAlignment="1" pivotButton="0" quotePrefix="0" xfId="0">
      <alignment horizontal="left"/>
    </xf>
    <xf numFmtId="167" fontId="3" fillId="4" borderId="8" pivotButton="0" quotePrefix="0" xfId="0"/>
    <xf numFmtId="165" fontId="3" fillId="4" borderId="8" pivotButton="0" quotePrefix="0" xfId="0"/>
    <xf numFmtId="167" fontId="5" fillId="5" borderId="8" pivotButton="0" quotePrefix="0" xfId="0"/>
    <xf numFmtId="167" fontId="5" fillId="5" borderId="9" pivotButton="0" quotePrefix="0" xfId="0"/>
    <xf numFmtId="167" fontId="9" fillId="4" borderId="13" pivotButton="0" quotePrefix="0" xfId="0"/>
    <xf numFmtId="167" fontId="9" fillId="4" borderId="4" pivotButton="0" quotePrefix="0" xfId="0"/>
    <xf numFmtId="165" fontId="9" fillId="4" borderId="13" pivotButton="0" quotePrefix="0" xfId="0"/>
    <xf numFmtId="165" fontId="5" fillId="0" borderId="8" pivotButton="0" quotePrefix="0" xfId="0"/>
    <xf numFmtId="166" fontId="3" fillId="5" borderId="10" applyAlignment="1" pivotButton="0" quotePrefix="0" xfId="0">
      <alignment horizontal="left"/>
    </xf>
    <xf numFmtId="167" fontId="3" fillId="4" borderId="10" pivotButton="0" quotePrefix="0" xfId="0"/>
    <xf numFmtId="167" fontId="3" fillId="4" borderId="12" pivotButton="0" quotePrefix="0" xfId="0"/>
    <xf numFmtId="165" fontId="3" fillId="4" borderId="10" pivotButton="0" quotePrefix="0" xfId="0"/>
    <xf numFmtId="167" fontId="5" fillId="5" borderId="10" pivotButton="0" quotePrefix="0" xfId="0"/>
    <xf numFmtId="167" fontId="5" fillId="5" borderId="12" pivotButton="0" quotePrefix="0" xfId="0"/>
    <xf numFmtId="165" fontId="5" fillId="0" borderId="10" pivotButton="0" quotePrefix="0" xfId="0"/>
    <xf numFmtId="166" fontId="11" fillId="9" borderId="13" pivotButton="0" quotePrefix="0" xfId="0"/>
    <xf numFmtId="164" fontId="3" fillId="9" borderId="13" applyAlignment="1" pivotButton="0" quotePrefix="0" xfId="0">
      <alignment horizontal="center"/>
    </xf>
    <xf numFmtId="171" fontId="3" fillId="9" borderId="13" applyAlignment="1" pivotButton="0" quotePrefix="0" xfId="0">
      <alignment horizontal="center"/>
    </xf>
    <xf numFmtId="168" fontId="5" fillId="0" borderId="0" pivotButton="0" quotePrefix="0" xfId="0"/>
    <xf numFmtId="166" fontId="8" fillId="5" borderId="13" applyAlignment="1" pivotButton="0" quotePrefix="0" xfId="0">
      <alignment horizontal="left"/>
    </xf>
    <xf numFmtId="167" fontId="5" fillId="6" borderId="8" pivotButton="0" quotePrefix="0" xfId="0"/>
    <xf numFmtId="167" fontId="8" fillId="6" borderId="8" pivotButton="0" quotePrefix="0" xfId="0"/>
    <xf numFmtId="166" fontId="3" fillId="5" borderId="13" pivotButton="0" quotePrefix="0" xfId="0"/>
    <xf numFmtId="166" fontId="13" fillId="5" borderId="13" applyAlignment="1" pivotButton="0" quotePrefix="0" xfId="0">
      <alignment horizontal="left"/>
    </xf>
    <xf numFmtId="169" fontId="5" fillId="0" borderId="0" pivotButton="0" quotePrefix="0" xfId="0"/>
  </cellXfs>
  <cellStyles count="9">
    <cellStyle name="Normal" xfId="0" builtinId="0"/>
    <cellStyle name="Percent" xfId="1" builtinId="5"/>
    <cellStyle name="Normal 2" xfId="2"/>
    <cellStyle name="Normal 3" xfId="3"/>
    <cellStyle name="Normal 4" xfId="4"/>
    <cellStyle name="Currency 2" xfId="5"/>
    <cellStyle name="Normal 5" xfId="6"/>
    <cellStyle name="Percent 2" xfId="7"/>
    <cellStyle name="Hyperlink 2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externalLink" Target="/xl/externalLinks/externalLink3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SaaS and license COGS, $mm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'Costs &amp; Expenses Build'!$C$7:$J$7</f>
              <numCache>
                <formatCode>#\A</formatCode>
                <ptCount val="8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formatCode>#\E</formatCode>
                  <v>2025</v>
                </pt>
                <pt idx="4">
                  <formatCode>#\E</formatCode>
                  <v>2026</v>
                </pt>
                <pt idx="5">
                  <formatCode>#\E</formatCode>
                  <v>2027</v>
                </pt>
                <pt idx="6">
                  <formatCode>#\E</formatCode>
                  <v>2028</v>
                </pt>
                <pt idx="7">
                  <formatCode>#\E</formatCode>
                  <v>2029</v>
                </pt>
              </numCache>
            </numRef>
          </xVal>
          <yVal>
            <numRef>
              <f>'Income Build'!#REF!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647530554"/>
        <axId val="1329004545"/>
      </scatterChart>
      <valAx>
        <axId val="164753055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29004545"/>
        <crosses val="autoZero"/>
        <crossBetween val="midCat"/>
      </valAx>
      <valAx>
        <axId val="132900454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64753055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Sales and Marketing Expense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Sales and Marketing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'Costs &amp; Expenses Build'!$C$7:$J$7</f>
              <numCache>
                <formatCode>#\A</formatCode>
                <ptCount val="8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formatCode>#\E</formatCode>
                  <v>2025</v>
                </pt>
                <pt idx="4">
                  <formatCode>#\E</formatCode>
                  <v>2026</v>
                </pt>
                <pt idx="5">
                  <formatCode>#\E</formatCode>
                  <v>2027</v>
                </pt>
                <pt idx="6">
                  <formatCode>#\E</formatCode>
                  <v>2028</v>
                </pt>
                <pt idx="7">
                  <formatCode>#\E</formatCode>
                  <v>2029</v>
                </pt>
              </numCache>
            </numRef>
          </xVal>
          <yVal>
            <numRef>
              <f>'Costs &amp; Expenses Build'!$C$31:$J$31</f>
              <numCache>
                <formatCode>_("$"* #,##0.0_);_("$"* \(#,##0.0\);_("$"* "-"_);_(@_)</formatCode>
                <ptCount val="8"/>
                <pt idx="0">
                  <v>76.06100000000001</v>
                </pt>
                <pt idx="1">
                  <v>95.773</v>
                </pt>
                <pt idx="2">
                  <v>111.265</v>
                </pt>
                <pt idx="3">
                  <v>144.1480556839689</v>
                </pt>
                <pt idx="4">
                  <v>165.0286292227414</v>
                </pt>
                <pt idx="5">
                  <v>189.7544929001632</v>
                </pt>
                <pt idx="6">
                  <v>227.9038136223189</v>
                </pt>
                <pt idx="7">
                  <v>269.6494254720234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12810237"/>
        <axId val="1269967105"/>
      </scatterChart>
      <valAx>
        <axId val="71281023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269967105"/>
        <crosses val="autoZero"/>
        <crossBetween val="midCat"/>
      </valAx>
      <valAx>
        <axId val="126996710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712810237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SaaS Margin (%)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% Revenue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'Costs &amp; Expenses Build'!$C$7:$J$7</f>
              <numCache>
                <formatCode>#\A</formatCode>
                <ptCount val="8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formatCode>#\E</formatCode>
                  <v>2025</v>
                </pt>
                <pt idx="4">
                  <formatCode>#\E</formatCode>
                  <v>2026</v>
                </pt>
                <pt idx="5">
                  <formatCode>#\E</formatCode>
                  <v>2027</v>
                </pt>
                <pt idx="6">
                  <formatCode>#\E</formatCode>
                  <v>2028</v>
                </pt>
                <pt idx="7">
                  <formatCode>#\E</formatCode>
                  <v>2029</v>
                </pt>
              </numCache>
            </numRef>
          </xVal>
          <yVal>
            <numRef>
              <f>'Income Build'!#REF!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39345715"/>
        <axId val="2134094375"/>
      </scatterChart>
      <valAx>
        <axId val="1539345715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134094375"/>
        <crosses val="autoZero"/>
        <crossBetween val="midCat"/>
      </valAx>
      <valAx>
        <axId val="213409437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39345715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R&amp;D Expense (%, of revenue)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IS!$C$43:$P$43</f>
              <numCache>
                <formatCode>#\A</formatCode>
                <ptCount val="9"/>
              </numCache>
            </numRef>
          </xVal>
          <yVal>
            <numRef>
              <f>IS!$C$50:$P$50</f>
              <numCache>
                <formatCode>0.00%</formatCode>
                <ptCount val="9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902646525"/>
        <axId val="1656903925"/>
      </scatterChart>
      <valAx>
        <axId val="1902646525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656903925"/>
        <crosses val="autoZero"/>
        <crossBetween val="midCat"/>
      </valAx>
      <valAx>
        <axId val="165690392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902646525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ROE/ROA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IS!$C$43:$P$43</f>
              <numCache>
                <formatCode>#\A</formatCode>
                <ptCount val="9"/>
              </numCache>
            </numRef>
          </xVal>
          <yVal>
            <numRef>
              <f>IS!$C$57:$P$57</f>
              <numCache>
                <formatCode>0.00</formatCode>
                <ptCount val="9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633495384"/>
        <axId val="288278986"/>
      </scatterChart>
      <valAx>
        <axId val="63349538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88278986"/>
        <crosses val="autoZero"/>
        <crossBetween val="midCat"/>
      </valAx>
      <valAx>
        <axId val="28827898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63349538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Cash and cash equivalents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BS!$C$10:$AD$10</f>
              <numCache>
                <formatCode>_("$"* #,##0.0_);_("$"* \(#,##0.0\);_("$"* "-"_);_(@_)</formatCode>
                <ptCount val="23"/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68946719"/>
        <axId val="119303794"/>
      </scatterChart>
      <valAx>
        <axId val="368946719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9303794"/>
        <crosses val="autoZero"/>
        <crossBetween val="midCat"/>
      </valAx>
      <valAx>
        <axId val="11930379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368946719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Accounts receivable, net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BS!$C$11:$AD$11</f>
              <numCache>
                <formatCode>_("$"* #,##0.0_);_("$"* \(#,##0.0\);_("$"* "-"_);_(@_)</formatCode>
                <ptCount val="23"/>
                <pt idx="0">
                  <v>2.9317</v>
                </pt>
                <pt idx="1">
                  <v>130.188</v>
                </pt>
                <pt idx="2">
                  <v>147.188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442464"/>
        <axId val="2090331175"/>
      </scatterChart>
      <valAx>
        <axId val="5044246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090331175"/>
        <crosses val="autoZero"/>
        <crossBetween val="midCat"/>
      </valAx>
      <valAx>
        <axId val="209033117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5044246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Inventory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BS!$C$12:$AD$12</f>
              <numCache>
                <formatCode>_("$"* #,##0.0_);_("$"* \(#,##0.0\);_("$"* "-"_);_(@_)</formatCode>
                <ptCount val="23"/>
                <pt idx="0">
                  <v>50.215</v>
                </pt>
                <pt idx="1">
                  <v>42.571</v>
                </pt>
                <pt idx="2">
                  <v>28.273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48961393"/>
        <axId val="447525266"/>
      </scatterChart>
      <valAx>
        <axId val="1348961393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447525266"/>
        <crosses val="autoZero"/>
        <crossBetween val="midCat"/>
      </valAx>
      <valAx>
        <axId val="44752526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48961393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Other current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BS!$C$14:$AD$14</f>
              <numCache>
                <formatCode>_("$"* #,##0.0_);_("$"* \(#,##0.0\);_("$"* "-"_);_(@_)</formatCode>
                <ptCount val="23"/>
                <pt idx="0">
                  <v>85.19199999999999</v>
                </pt>
                <pt idx="1">
                  <v>81.759</v>
                </pt>
                <pt idx="2">
                  <v>117.488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113190964"/>
        <axId val="1813079671"/>
      </scatterChart>
      <valAx>
        <axId val="211319096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13079671"/>
        <crosses val="autoZero"/>
        <crossBetween val="midCat"/>
      </valAx>
      <valAx>
        <axId val="181307967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11319096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Property and equipment, net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BS!$C$18:$AD$18</f>
              <numCache>
                <formatCode>_("$"* #,##0.0_);_("$"* \(#,##0.0\);_("$"* "-"_);_(@_)</formatCode>
                <ptCount val="23"/>
                <pt idx="0">
                  <v>178.963</v>
                </pt>
                <pt idx="1">
                  <v>271.529</v>
                </pt>
                <pt idx="2">
                  <v>333.556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9800848"/>
        <axId val="831493905"/>
      </scatterChart>
      <valAx>
        <axId val="92980084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831493905"/>
        <crosses val="autoZero"/>
        <crossBetween val="midCat"/>
      </valAx>
      <valAx>
        <axId val="83149390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929800848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Intangible assets, net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BS!$C$19:$AD$19</f>
              <numCache>
                <formatCode>_("$"* #,##0.0_);_("$"* \(#,##0.0\);_("$"* "-"_);_(@_)</formatCode>
                <ptCount val="23"/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80108528"/>
        <axId val="988390919"/>
      </scatterChart>
      <valAx>
        <axId val="18010852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988390919"/>
        <crosses val="autoZero"/>
        <crossBetween val="midCat"/>
      </valAx>
      <valAx>
        <axId val="98839091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0108528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Operating lease right-of-use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BS!$C$22:$AD$22</f>
              <numCache>
                <formatCode>_("$"* #,##0.0_);_("$"* \(#,##0.0\);_("$"* "-"_);_(@_)</formatCode>
                <ptCount val="23"/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47727114"/>
        <axId val="1511108857"/>
      </scatterChart>
      <valAx>
        <axId val="104772711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11108857"/>
        <crosses val="autoZero"/>
        <crossBetween val="midCat"/>
      </valAx>
      <valAx>
        <axId val="151110885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04772711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Other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BS!$C$23:$AD$23</f>
              <numCache>
                <formatCode>_("$"* #,##0.0_);_("$"* \(#,##0.0\);_("$"* "-"_);_(@_)</formatCode>
                <ptCount val="23"/>
                <pt idx="0">
                  <v>55.463</v>
                </pt>
                <pt idx="1">
                  <v>77.53400000000001</v>
                </pt>
                <pt idx="2">
                  <v>66.042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44081002"/>
        <axId val="676330070"/>
      </scatterChart>
      <valAx>
        <axId val="1344081002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676330070"/>
        <crosses val="autoZero"/>
        <crossBetween val="midCat"/>
      </valAx>
      <valAx>
        <axId val="67633007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44081002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Accounts payable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BS!$C$28:$AD$28</f>
              <numCache>
                <formatCode>_("$"* #,##0.0_);_("$"* \(#,##0.0\);_("$"* "-"_);_(@_)</formatCode>
                <ptCount val="23"/>
                <pt idx="0">
                  <v>5.45</v>
                </pt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741470512"/>
        <axId val="1369490638"/>
      </scatterChart>
      <valAx>
        <axId val="1741470512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69490638"/>
        <crosses val="autoZero"/>
        <crossBetween val="midCat"/>
      </valAx>
      <valAx>
        <axId val="136949063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741470512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Accrued expenses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BS!$C$29:$AD$29</f>
              <numCache>
                <formatCode>_("$"* #,##0.0_);_("$"* \(#,##0.0\);_("$"* "-"_);_(@_)</formatCode>
                <ptCount val="23"/>
                <pt idx="0">
                  <v>19.86</v>
                </pt>
                <pt idx="1">
                  <v>19.86</v>
                </pt>
                <pt idx="2">
                  <v>19.86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832298227"/>
        <axId val="1274252605"/>
      </scatterChart>
      <valAx>
        <axId val="8322982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274252605"/>
        <crosses val="autoZero"/>
        <crossBetween val="midCat"/>
      </valAx>
      <valAx>
        <axId val="127425260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832298227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Deferred revenue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BS!$C$31:$AD$31</f>
              <numCache>
                <formatCode>_("$"* #,##0.0_);_("$"* \(#,##0.0\);_("$"* "-"_);_(@_)</formatCode>
                <ptCount val="23"/>
                <pt idx="0">
                  <v>389.129</v>
                </pt>
                <pt idx="1">
                  <v>487.485</v>
                </pt>
                <pt idx="2">
                  <v>531.579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43779740"/>
        <axId val="608479903"/>
      </scatterChart>
      <valAx>
        <axId val="154377974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608479903"/>
        <crosses val="autoZero"/>
        <crossBetween val="midCat"/>
      </valAx>
      <valAx>
        <axId val="6084799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43779740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 xml:space="preserve"> Operating lease liabilities (current)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 xml:space="preserve"> Operating lease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BS!$C$32:$AD$32</f>
              <numCache>
                <formatCode>_("$"* #,##0.0_);_("$"* \(#,##0.0\);_("$"* "-"_);_(@_)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23089606"/>
        <axId val="75046256"/>
      </scatterChart>
      <valAx>
        <axId val="323089606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75046256"/>
        <crosses val="autoZero"/>
        <crossBetween val="midCat"/>
      </valAx>
      <valAx>
        <axId val="7504625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323089606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Income tax payable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BS!$C$33:$AD$33</f>
              <numCache>
                <formatCode>_("$"* #,##0.0_);_("$"* \(#,##0.0\);_("$"* "-"_);_(@_)</formatCode>
                <ptCount val="23"/>
                <pt idx="0">
                  <v>16.364</v>
                </pt>
                <pt idx="1">
                  <v>19.967</v>
                </pt>
                <pt idx="2">
                  <v>21.131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463406429"/>
        <axId val="225571354"/>
      </scatterChart>
      <valAx>
        <axId val="1463406429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25571354"/>
        <crosses val="autoZero"/>
        <crossBetween val="midCat"/>
      </valAx>
      <valAx>
        <axId val="22557135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463406429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Other current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BS!$C$34:$AD$34</f>
              <numCache>
                <formatCode>_("$"* #,##0.0_);_("$"* \(#,##0.0\);_("$"* "-"_);_(@_)</formatCode>
                <ptCount val="23"/>
                <pt idx="0">
                  <v>8.576000000000001</v>
                </pt>
                <pt idx="1">
                  <v>8.423999999999999</v>
                </pt>
                <pt idx="2">
                  <v>8.843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0982140"/>
        <axId val="143719731"/>
      </scatterChart>
      <valAx>
        <axId val="10098214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43719731"/>
        <crosses val="autoZero"/>
        <crossBetween val="midCat"/>
      </valAx>
      <valAx>
        <axId val="14371973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00982140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 xml:space="preserve"> Operating lease liabilities (non-current)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 xml:space="preserve"> Operating lease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BS!$C$41:$AD$41</f>
              <numCache>
                <formatCode>_("$"* #,##0.0_);_("$"* \(#,##0.0\);_("$"* "-"_);_(@_)</formatCode>
                <ptCount val="23"/>
                <pt idx="0">
                  <v>1.145</v>
                </pt>
                <pt idx="1">
                  <v>2.053</v>
                </pt>
                <pt idx="2">
                  <v>0.152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6381074"/>
        <axId val="785765569"/>
      </scatterChart>
      <valAx>
        <axId val="1526381074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785765569"/>
        <crosses val="autoZero"/>
        <crossBetween val="midCat"/>
      </valAx>
      <valAx>
        <axId val="78576556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26381074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Other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BS!$C$42:$AD$42</f>
              <numCache>
                <formatCode>_("$"* #,##0.0_);_("$"* \(#,##0.0\);_("$"* "-"_);_(@_)</formatCode>
                <ptCount val="23"/>
                <pt idx="0">
                  <v>0</v>
                </pt>
                <pt idx="1">
                  <v>0</v>
                </pt>
                <pt idx="2">
                  <v>28.283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855940516"/>
        <axId val="629159612"/>
      </scatterChart>
      <valAx>
        <axId val="855940516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629159612"/>
        <crosses val="autoZero"/>
        <crossBetween val="midCat"/>
      </valAx>
      <valAx>
        <axId val="62915961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855940516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Net Working Capital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BS!$C$47:$AD$47</f>
              <numCache>
                <formatCode>_("$"* #,##0.0_);_("$"* \(#,##0.0\);_("$"* "-"_);_(@_)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35560742"/>
        <axId val="1450601601"/>
      </scatterChart>
      <valAx>
        <axId val="1135560742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450601601"/>
        <crosses val="autoZero"/>
        <crossBetween val="midCat"/>
      </valAx>
      <valAx>
        <axId val="14506016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35560742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Accumulated deficit / Retained earnings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BS!$C$53:$AD$53</f>
              <numCache>
                <formatCode>_("$"* #,##0.0_);_("$"* \(#,##0.0\);_("$"* "-"_);_(@_)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62929838"/>
        <axId val="2132732801"/>
      </scatterChart>
      <valAx>
        <axId val="116292983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132732801"/>
        <crosses val="autoZero"/>
        <crossBetween val="midCat"/>
      </valAx>
      <valAx>
        <axId val="21327328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62929838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Current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BS!$C$15:$AD$15</f>
              <numCache>
                <formatCode>_("$"* #,##0.0_);_("$"* \(#,##0.0\);_("$"* "-"_);_(@_)</formatCode>
                <ptCount val="23"/>
                <pt idx="0">
                  <v>6.205</v>
                </pt>
                <pt idx="1">
                  <v>14.287</v>
                </pt>
                <pt idx="2">
                  <v>27.585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871660566"/>
        <axId val="1201724451"/>
      </scatterChart>
      <valAx>
        <axId val="1871660566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201724451"/>
        <crosses val="autoZero"/>
        <crossBetween val="midCat"/>
      </valAx>
      <valAx>
        <axId val="120172445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71660566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Non-Current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BS!$C$24:$AD$24</f>
              <numCache>
                <formatCode>_("$"* #,##0.0_);_("$"* \(#,##0.0\);_("$"* "-"_);_(@_)</formatCode>
                <ptCount val="23"/>
                <pt idx="1">
                  <v>0</v>
                </pt>
                <pt idx="2">
                  <v>31.624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02712938"/>
        <axId val="1802218218"/>
      </scatterChart>
      <valAx>
        <axId val="30271293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02218218"/>
        <crosses val="autoZero"/>
        <crossBetween val="midCat"/>
      </valAx>
      <valAx>
        <axId val="180221821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302712938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BS!$C$25:$AD$25</f>
              <numCache>
                <formatCode>_("$"* #,##0.0_);_("$"* \(#,##0.0\);_("$"* "-"_);_(@_)</formatCode>
                <ptCount val="23"/>
                <pt idx="0">
                  <v>5.708</v>
                </pt>
                <pt idx="1">
                  <v>10.013</v>
                </pt>
                <pt idx="2">
                  <v>11.287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83067138"/>
        <axId val="1732511704"/>
      </scatterChart>
      <valAx>
        <axId val="1383067138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732511704"/>
        <crosses val="autoZero"/>
        <crossBetween val="midCat"/>
      </valAx>
      <valAx>
        <axId val="173251170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83067138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Current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BS!$C$35:$AD$35</f>
              <numCache>
                <formatCode>_("$"* #,##0.0_);_("$"* \(#,##0.0\);_("$"* "-"_);_(@_)</formatCode>
                <ptCount val="23"/>
                <pt idx="0">
                  <v>1.324</v>
                </pt>
                <pt idx="1">
                  <v>3.443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48618590"/>
        <axId val="1139345398"/>
      </scatterChart>
      <valAx>
        <axId val="1348618590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39345398"/>
        <crosses val="autoZero"/>
        <crossBetween val="midCat"/>
      </valAx>
      <valAx>
        <axId val="113934539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48618590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Non-Current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BS!$C$44:$AD$44</f>
              <numCache>
                <formatCode>_("$"* #,##0.0_);_("$"* \(#,##0.0\);_("$"* "-"_);_(@_)</formatCode>
                <ptCount val="23"/>
                <pt idx="0">
                  <v>0</v>
                </pt>
                <pt idx="1">
                  <v>1.113</v>
                </pt>
                <pt idx="2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09627727"/>
        <axId val="155591249"/>
      </scatterChart>
      <valAx>
        <axId val="11096277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5591249"/>
        <crosses val="autoZero"/>
        <crossBetween val="midCat"/>
      </valAx>
      <valAx>
        <axId val="15559124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09627727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Liabilities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BS!$C$45:$AD$45</f>
              <numCache>
                <formatCode>_("$"* #,##0.0_);_("$"* \(#,##0.0\);_("$"* "-"_);_(@_)</formatCode>
                <ptCount val="23"/>
                <pt idx="0">
                  <v>1.186</v>
                </pt>
                <pt idx="1">
                  <v>4.131</v>
                </pt>
                <pt idx="2">
                  <v>4.656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412150403"/>
        <axId val="1304992286"/>
      </scatterChart>
      <valAx>
        <axId val="1412150403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04992286"/>
        <crosses val="autoZero"/>
        <crossBetween val="midCat"/>
      </valAx>
      <valAx>
        <axId val="130499228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412150403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SE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BS!$C$54:$AD$54</f>
              <numCache>
                <formatCode>_("$"* #,##0.0_);_("$"* \(#,##0.0\);_("$"* "-"_);_(@_)</formatCode>
                <ptCount val="23"/>
                <pt idx="0">
                  <v>389.129</v>
                </pt>
                <pt idx="1">
                  <v>487.485</v>
                </pt>
                <pt idx="2">
                  <v>531.579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2111119"/>
        <axId val="1505677780"/>
      </scatterChart>
      <valAx>
        <axId val="22111119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505677780"/>
        <crosses val="autoZero"/>
        <crossBetween val="midCat"/>
      </valAx>
      <valAx>
        <axId val="150567778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2111119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Total Liabilities &amp; SE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07563902"/>
        <axId val="1349616396"/>
      </scatterChart>
      <valAx>
        <axId val="507563902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349616396"/>
        <crosses val="autoZero"/>
        <crossBetween val="midCat"/>
      </valAx>
      <valAx>
        <axId val="134961639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507563902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Accrued compensation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BS!$C$30:$AD$30</f>
              <numCache>
                <formatCode>_("$"* #,##0.0_);_("$"* \(#,##0.0\);_("$"* "-"_);_(@_)</formatCode>
                <ptCount val="23"/>
                <pt idx="0">
                  <v>28.364</v>
                </pt>
                <pt idx="1">
                  <v>26.238</v>
                </pt>
                <pt idx="2">
                  <v>24.112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802071846"/>
        <axId val="1856640164"/>
      </scatterChart>
      <valAx>
        <axId val="1802071846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56640164"/>
        <crosses val="autoZero"/>
        <crossBetween val="midCat"/>
      </valAx>
      <valAx>
        <axId val="185664016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802071846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Other current liabilities (% Revenue)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BS!$C$59:$AD$59</f>
              <numCache>
                <formatCode>0.00%</formatCode>
                <ptCount val="23"/>
                <pt idx="0">
                  <v>0.04104566905014885</v>
                </pt>
                <pt idx="1">
                  <v>0.02474466641405017</v>
                </pt>
                <pt idx="2">
                  <v>0.02164515939531605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698075763"/>
        <axId val="2011749993"/>
      </scatterChart>
      <valAx>
        <axId val="698075763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2011749993"/>
        <crosses val="autoZero"/>
        <crossBetween val="midCat"/>
      </valAx>
      <valAx>
        <axId val="201174999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698075763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 xml:space="preserve"> Deferred tax assets 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BS!$C$7:$AD$7</f>
              <numCache>
                <formatCode>#\A</formatCode>
                <ptCount val="23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formatCode>#\E</formatCode>
                  <v>2023</v>
                </pt>
                <pt idx="4">
                  <formatCode>#\E</formatCode>
                  <v>2024</v>
                </pt>
                <pt idx="5">
                  <formatCode>#\E</formatCode>
                  <v>2025</v>
                </pt>
                <pt idx="6">
                  <formatCode>#\E</formatCode>
                  <v>2026</v>
                </pt>
                <pt idx="7">
                  <formatCode>#\E</formatCode>
                  <v>2027</v>
                </pt>
                <pt idx="8">
                  <formatCode>#\E</formatCode>
                  <v>2028</v>
                </pt>
                <pt idx="9">
                  <formatCode>#\E</formatCode>
                  <v>2029</v>
                </pt>
                <pt idx="10">
                  <formatCode>#\E</formatCode>
                  <v>2030</v>
                </pt>
                <pt idx="11">
                  <formatCode>#\E</formatCode>
                  <v>2031</v>
                </pt>
                <pt idx="12">
                  <formatCode>#\E</formatCode>
                  <v>2032</v>
                </pt>
                <pt idx="13">
                  <formatCode>#\E</formatCode>
                  <v>2033</v>
                </pt>
                <pt idx="14">
                  <formatCode>#\E</formatCode>
                  <v>2034</v>
                </pt>
                <pt idx="15">
                  <formatCode>#\E</formatCode>
                  <v>2035</v>
                </pt>
                <pt idx="16">
                  <formatCode>#\E</formatCode>
                  <v>2036</v>
                </pt>
                <pt idx="17">
                  <formatCode>#\E</formatCode>
                  <v>2037</v>
                </pt>
                <pt idx="18">
                  <formatCode>#\E</formatCode>
                  <v>2038</v>
                </pt>
                <pt idx="19">
                  <formatCode>#\E</formatCode>
                  <v>2039</v>
                </pt>
                <pt idx="20">
                  <formatCode>#\E</formatCode>
                  <v>2040</v>
                </pt>
                <pt idx="21">
                  <formatCode>#\E</formatCode>
                  <v>2041</v>
                </pt>
                <pt idx="22">
                  <formatCode>#\E</formatCode>
                  <v>2042</v>
                </pt>
              </numCache>
            </numRef>
          </xVal>
          <yVal>
            <numRef>
              <f>BS!$C$21:$AD$21</f>
              <numCache>
                <formatCode>_("$"* #,##0.0_);_("$"* \(#,##0.0\);_("$"* "-"_);_(@_)</formatCode>
                <ptCount val="23"/>
                <pt idx="0">
                  <v>7.839</v>
                </pt>
                <pt idx="1">
                  <v>7.35</v>
                </pt>
                <pt idx="2">
                  <v>12.638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153229027"/>
        <axId val="805900331"/>
      </scatterChart>
      <valAx>
        <axId val="11532290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#\A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805900331"/>
        <crosses val="autoZero"/>
        <crossBetween val="midCat"/>
      </valAx>
      <valAx>
        <axId val="80590033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_(&quot;$&quot;* #,##0.0_);_(&quot;$&quot;* \(#,##0.0\);_(&quot;$&quot;* &quot;-&quot;_);_(@_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CN"/>
          </a:p>
        </txPr>
        <crossAx val="1153229027"/>
        <crosses val="autoZero"/>
        <crossBetween val="midCat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  <a:endParaRPr lang="en-CN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BamSEC</author>
  </authors>
  <commentList>
    <comment ref="B11" authorId="0" shapeId="0">
      <text>
        <t>Variations found in other tables:
"Changes in operating assets and liabilities:" found in:
- 10-K filed on 2023-03-07 (https://www.bamsec.com/filing/155837023003009/1?table=105)</t>
      </text>
    </comment>
    <comment ref="B25" authorId="0" shapeId="0">
      <text>
        <t>Variations found in other tables:
"Net cash (used in) provided by operating activities" found in:
- 10-K filed on 2021-03-16 (https://www.bamsec.com/filing/110465921037098/1?table=76)</t>
      </text>
    </comment>
    <comment ref="B32" authorId="0" shapeId="0">
      <text>
        <t>Variations found in other tables:
"Net cash (used in) provided by investing activities" found in:
- 10-K filed on 2021-03-16 (https://www.bamsec.com/filing/110465921037098/1?table=76)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Relationship Type="http://schemas.openxmlformats.org/officeDocument/2006/relationships/chart" Target="/xl/charts/chart11.xml" Id="rId6" /><Relationship Type="http://schemas.openxmlformats.org/officeDocument/2006/relationships/chart" Target="/xl/charts/chart12.xml" Id="rId7" /><Relationship Type="http://schemas.openxmlformats.org/officeDocument/2006/relationships/chart" Target="/xl/charts/chart13.xml" Id="rId8" /><Relationship Type="http://schemas.openxmlformats.org/officeDocument/2006/relationships/chart" Target="/xl/charts/chart14.xml" Id="rId9" /><Relationship Type="http://schemas.openxmlformats.org/officeDocument/2006/relationships/chart" Target="/xl/charts/chart15.xml" Id="rId10" /><Relationship Type="http://schemas.openxmlformats.org/officeDocument/2006/relationships/chart" Target="/xl/charts/chart16.xml" Id="rId11" /><Relationship Type="http://schemas.openxmlformats.org/officeDocument/2006/relationships/chart" Target="/xl/charts/chart17.xml" Id="rId12" /><Relationship Type="http://schemas.openxmlformats.org/officeDocument/2006/relationships/chart" Target="/xl/charts/chart18.xml" Id="rId13" /><Relationship Type="http://schemas.openxmlformats.org/officeDocument/2006/relationships/chart" Target="/xl/charts/chart19.xml" Id="rId14" /><Relationship Type="http://schemas.openxmlformats.org/officeDocument/2006/relationships/chart" Target="/xl/charts/chart20.xml" Id="rId15" /><Relationship Type="http://schemas.openxmlformats.org/officeDocument/2006/relationships/chart" Target="/xl/charts/chart21.xml" Id="rId16" /><Relationship Type="http://schemas.openxmlformats.org/officeDocument/2006/relationships/chart" Target="/xl/charts/chart22.xml" Id="rId17" /><Relationship Type="http://schemas.openxmlformats.org/officeDocument/2006/relationships/chart" Target="/xl/charts/chart23.xml" Id="rId18" /><Relationship Type="http://schemas.openxmlformats.org/officeDocument/2006/relationships/chart" Target="/xl/charts/chart24.xml" Id="rId19" /><Relationship Type="http://schemas.openxmlformats.org/officeDocument/2006/relationships/chart" Target="/xl/charts/chart25.xml" Id="rId20" /><Relationship Type="http://schemas.openxmlformats.org/officeDocument/2006/relationships/chart" Target="/xl/charts/chart26.xml" Id="rId21" /><Relationship Type="http://schemas.openxmlformats.org/officeDocument/2006/relationships/chart" Target="/xl/charts/chart27.xml" Id="rId22" /><Relationship Type="http://schemas.openxmlformats.org/officeDocument/2006/relationships/chart" Target="/xl/charts/chart28.xml" Id="rId23" /><Relationship Type="http://schemas.openxmlformats.org/officeDocument/2006/relationships/chart" Target="/xl/charts/chart29.xml" Id="rId24" /><Relationship Type="http://schemas.openxmlformats.org/officeDocument/2006/relationships/chart" Target="/xl/charts/chart30.xml" Id="rId25" /><Relationship Type="http://schemas.openxmlformats.org/officeDocument/2006/relationships/chart" Target="/xl/charts/chart31.xml" Id="rId26" /><Relationship Type="http://schemas.openxmlformats.org/officeDocument/2006/relationships/chart" Target="/xl/charts/chart32.xml" Id="rId27" /><Relationship Type="http://schemas.openxmlformats.org/officeDocument/2006/relationships/chart" Target="/xl/charts/chart33.xml" Id="rId28" /><Relationship Type="http://schemas.openxmlformats.org/officeDocument/2006/relationships/chart" Target="/xl/charts/chart34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180975</colOff>
      <row>97</row>
      <rowOff>104775</rowOff>
    </from>
    <ext cx="4572000" cy="2743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</col>
      <colOff>0</colOff>
      <row>97</row>
      <rowOff>133350</rowOff>
    </from>
    <ext cx="4572000" cy="27432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7</col>
      <colOff>295275</colOff>
      <row>98</row>
      <rowOff>28575</rowOff>
    </from>
    <ext cx="4572000" cy="27432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69</row>
      <rowOff>123825</rowOff>
    </from>
    <ext cx="4572000" cy="28860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16</col>
      <colOff>0</colOff>
      <row>85</row>
      <rowOff>19050</rowOff>
    </from>
    <ext cx="4572000" cy="2876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30</col>
      <colOff>352425</colOff>
      <row>8</row>
      <rowOff>104775</rowOff>
    </from>
    <ext cx="4572000" cy="2876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30</col>
      <colOff>323850</colOff>
      <row>23</row>
      <rowOff>161925</rowOff>
    </from>
    <ext cx="4572000" cy="2886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30</col>
      <colOff>352425</colOff>
      <row>39</row>
      <rowOff>9525</rowOff>
    </from>
    <ext cx="4572000" cy="2876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30</col>
      <colOff>333375</colOff>
      <row>54</row>
      <rowOff>0</rowOff>
    </from>
    <ext cx="4572000" cy="34861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533400</colOff>
      <row>64</row>
      <rowOff>104775</rowOff>
    </from>
    <ext cx="4572000" cy="28765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7</col>
      <colOff>38100</colOff>
      <row>63</row>
      <rowOff>152400</rowOff>
    </from>
    <ext cx="4572000" cy="2886075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  <oneCellAnchor>
    <from>
      <col>10</col>
      <colOff>228600</colOff>
      <row>59</row>
      <rowOff>123825</rowOff>
    </from>
    <ext cx="4572000" cy="2886075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 fLocksWithSheet="0"/>
  </oneCellAnchor>
  <oneCellAnchor>
    <from>
      <col>17</col>
      <colOff>0</colOff>
      <row>59</row>
      <rowOff>114300</rowOff>
    </from>
    <ext cx="4572000" cy="2886075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 fLocksWithSheet="0"/>
  </oneCellAnchor>
  <oneCellAnchor>
    <from>
      <col>0</col>
      <colOff>561975</colOff>
      <row>75</row>
      <rowOff>142875</rowOff>
    </from>
    <ext cx="4572000" cy="2886075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 fLocksWithSheet="0"/>
  </oneCellAnchor>
  <oneCellAnchor>
    <from>
      <col>3</col>
      <colOff>333375</colOff>
      <row>75</row>
      <rowOff>161925</rowOff>
    </from>
    <ext cx="4572000" cy="2886075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 fLocksWithSheet="0"/>
  </oneCellAnchor>
  <oneCellAnchor>
    <from>
      <col>10</col>
      <colOff>276225</colOff>
      <row>75</row>
      <rowOff>152400</rowOff>
    </from>
    <ext cx="4572000" cy="2886075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 fLocksWithSheet="0"/>
  </oneCellAnchor>
  <oneCellAnchor>
    <from>
      <col>16</col>
      <colOff>704850</colOff>
      <row>75</row>
      <rowOff>171450</rowOff>
    </from>
    <ext cx="4572000" cy="2886075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 fLocksWithSheet="0"/>
  </oneCellAnchor>
  <oneCellAnchor>
    <from>
      <col>0</col>
      <colOff>561975</colOff>
      <row>92</row>
      <rowOff>66675</rowOff>
    </from>
    <ext cx="4572000" cy="287655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 fLocksWithSheet="0"/>
  </oneCellAnchor>
  <oneCellAnchor>
    <from>
      <col>3</col>
      <colOff>361950</colOff>
      <row>92</row>
      <rowOff>133350</rowOff>
    </from>
    <ext cx="4572000" cy="2886075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 fLocksWithSheet="0"/>
  </oneCellAnchor>
  <oneCellAnchor>
    <from>
      <col>10</col>
      <colOff>285750</colOff>
      <row>92</row>
      <rowOff>95250</rowOff>
    </from>
    <ext cx="4572000" cy="287655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 fLocksWithSheet="0"/>
  </oneCellAnchor>
  <oneCellAnchor>
    <from>
      <col>17</col>
      <colOff>57150</colOff>
      <row>92</row>
      <rowOff>104775</rowOff>
    </from>
    <ext cx="4572000" cy="287655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 fLocksWithSheet="0"/>
  </oneCellAnchor>
  <oneCellAnchor>
    <from>
      <col>0</col>
      <colOff>533400</colOff>
      <row>107</row>
      <rowOff>123825</rowOff>
    </from>
    <ext cx="4572000" cy="2886075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 fLocksWithSheet="0"/>
  </oneCellAnchor>
  <oneCellAnchor>
    <from>
      <col>0</col>
      <colOff>533400</colOff>
      <row>123</row>
      <rowOff>38100</rowOff>
    </from>
    <ext cx="4572000" cy="287655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 fLocksWithSheet="0"/>
  </oneCellAnchor>
  <oneCellAnchor>
    <from>
      <col>3</col>
      <colOff>323850</colOff>
      <row>123</row>
      <rowOff>0</rowOff>
    </from>
    <ext cx="4572000" cy="287655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 fLocksWithSheet="0"/>
  </oneCellAnchor>
  <oneCellAnchor>
    <from>
      <col>10</col>
      <colOff>314325</colOff>
      <row>123</row>
      <rowOff>28575</rowOff>
    </from>
    <ext cx="4572000" cy="287655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 fLocksWithSheet="0"/>
  </oneCellAnchor>
  <oneCellAnchor>
    <from>
      <col>17</col>
      <colOff>295275</colOff>
      <row>122</row>
      <rowOff>114300</rowOff>
    </from>
    <ext cx="4572000" cy="2886075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 fLocksWithSheet="0"/>
  </oneCellAnchor>
  <oneCellAnchor>
    <from>
      <col>0</col>
      <colOff>552450</colOff>
      <row>140</row>
      <rowOff>47625</rowOff>
    </from>
    <ext cx="4572000" cy="287655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 fLocksWithSheet="0"/>
  </oneCellAnchor>
  <oneCellAnchor>
    <from>
      <col>3</col>
      <colOff>476250</colOff>
      <row>141</row>
      <rowOff>152400</rowOff>
    </from>
    <ext cx="4572000" cy="2886075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 fLocksWithSheet="0"/>
  </oneCellAnchor>
  <oneCellAnchor>
    <from>
      <col>10</col>
      <colOff>457200</colOff>
      <row>141</row>
      <rowOff>123825</rowOff>
    </from>
    <ext cx="4572000" cy="2886075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 fLocksWithSheet="0"/>
  </oneCellAnchor>
  <oneCellAnchor>
    <from>
      <col>17</col>
      <colOff>390525</colOff>
      <row>141</row>
      <rowOff>66675</rowOff>
    </from>
    <ext cx="4572000" cy="287655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 fLocksWithSheet="0"/>
  </oneCellAnchor>
  <oneCellAnchor>
    <from>
      <col>24</col>
      <colOff>152400</colOff>
      <row>140</row>
      <rowOff>66675</rowOff>
    </from>
    <ext cx="4572000" cy="287655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 fLocksWithSheet="0"/>
  </oneCellAnchor>
  <oneCellAnchor>
    <from>
      <col>30</col>
      <colOff>342900</colOff>
      <row>72</row>
      <rowOff>9525</rowOff>
    </from>
    <ext cx="4572000" cy="287655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 fLocksWithSheet="0"/>
  </oneCellAnchor>
  <oneCellAnchor>
    <from>
      <col>23</col>
      <colOff>514350</colOff>
      <row>59</row>
      <rowOff>152400</rowOff>
    </from>
    <ext cx="4572000" cy="2886075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 fLocksWithSheet="0"/>
  </oneCellAnchor>
  <oneCellAnchor>
    <from>
      <col>23</col>
      <colOff>581025</colOff>
      <row>75</row>
      <rowOff>123825</rowOff>
    </from>
    <ext cx="4572000" cy="2886075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penno365-my.sharepoint.com/Users/benjaminyao/Downloads/Alarm.com%20ALRM%20US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penno365-my.sharepoint.com/personal/jleejx_upenn_edu/Documents/PLTK%20LBO%20Case%20Model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penno365-my.sharepoint.com/Users/ronn/Desktop/FNCE2060_PLTK_DCF%20-%20Liv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ront Page"/>
      <sheetName val="Guidance"/>
      <sheetName val="Summary Page"/>
      <sheetName val="Update Log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Transaction Assumptions"/>
      <sheetName val="Operating Assumptions"/>
      <sheetName val="3FS"/>
      <sheetName val="Debt Schedule"/>
      <sheetName val="Public Comps - Operating"/>
      <sheetName val="Public Comps - Market"/>
      <sheetName val="Transaction Comps"/>
    </sheetNames>
    <sheetDataSet>
      <sheetData sheetId="0" refreshError="1"/>
      <sheetData sheetId="1">
        <row r="20">
          <cell r="J20">
            <v>4.4999999999999998E-2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DCF"/>
      <sheetName val="Dashboard - Financing"/>
      <sheetName val="Dashboard - Operating"/>
      <sheetName val="Operating Model"/>
      <sheetName val="Forecasts - Operating"/>
      <sheetName val="Forecasts - Segment Results"/>
      <sheetName val="Forecasts - Financing "/>
      <sheetName val="Forecasts - Debt rating "/>
      <sheetName val="Public Comps - Main Set"/>
      <sheetName val="Public Comps - Tax Set"/>
      <sheetName val="Historical - Adjusted"/>
      <sheetName val="Historical - Data"/>
    </sheetNames>
    <sheetDataSet>
      <sheetData sheetId="0">
        <row r="11">
          <cell r="G11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8"/>
  <sheetViews>
    <sheetView showGridLines="0" zoomScale="109" zoomScaleNormal="110" workbookViewId="0">
      <selection activeCell="A1" sqref="A1"/>
    </sheetView>
  </sheetViews>
  <sheetFormatPr baseColWidth="10" defaultColWidth="10.83203125" defaultRowHeight="13" customHeight="1"/>
  <cols>
    <col width="1.5" customWidth="1" style="380" min="1" max="1"/>
    <col width="27.83203125" customWidth="1" style="380" min="2" max="2"/>
    <col width="10.83203125" customWidth="1" style="380" min="3" max="5"/>
    <col width="18" customWidth="1" style="380" min="6" max="6"/>
    <col width="8.83203125" bestFit="1" customWidth="1" style="380" min="7" max="7"/>
    <col width="2.5" customWidth="1" style="380" min="8" max="8"/>
    <col width="27.83203125" customWidth="1" style="380" min="9" max="9"/>
    <col width="10.83203125" customWidth="1" style="380" min="10" max="12"/>
    <col width="18" customWidth="1" style="380" min="13" max="13"/>
    <col width="6.5" customWidth="1" style="380" min="14" max="14"/>
    <col width="3.5" customWidth="1" style="380" min="15" max="15"/>
    <col width="10.83203125" customWidth="1" style="380" min="16" max="16384"/>
  </cols>
  <sheetData>
    <row r="2" ht="20" customHeight="1">
      <c r="B2" s="381" t="inlineStr">
        <is>
          <t>HEICO CORPORATION (HEI)</t>
        </is>
      </c>
      <c r="C2" s="382" t="n"/>
      <c r="D2" s="382" t="n"/>
      <c r="E2" s="382" t="n"/>
      <c r="F2" s="382" t="n"/>
      <c r="G2" s="382" t="n"/>
    </row>
    <row r="3" ht="15" customHeight="1">
      <c r="C3" s="382" t="n"/>
      <c r="D3" s="382" t="n"/>
      <c r="F3" s="382" t="n"/>
      <c r="G3" s="382" t="n"/>
    </row>
    <row r="4" ht="14" customHeight="1">
      <c r="B4" s="383" t="inlineStr">
        <is>
          <t>Legend</t>
        </is>
      </c>
      <c r="C4" s="382" t="n"/>
      <c r="D4" s="382" t="n"/>
      <c r="E4" s="382" t="n"/>
      <c r="F4" s="382" t="n"/>
      <c r="G4" s="382" t="n"/>
    </row>
    <row r="5" ht="14" customHeight="1">
      <c r="B5" s="384" t="inlineStr">
        <is>
          <t>Formula</t>
        </is>
      </c>
      <c r="C5" s="385" t="n"/>
      <c r="D5" s="385" t="n"/>
      <c r="E5" s="385" t="n"/>
      <c r="F5" s="385" t="n"/>
      <c r="G5" s="385" t="n"/>
      <c r="H5" s="386" t="n"/>
      <c r="I5" s="386" t="n"/>
      <c r="J5" s="386" t="n"/>
      <c r="K5" s="386" t="n"/>
      <c r="L5" s="386" t="n"/>
      <c r="M5" s="386" t="n"/>
      <c r="N5" s="387" t="n"/>
    </row>
    <row r="6" ht="14" customHeight="1">
      <c r="B6" s="388" t="inlineStr">
        <is>
          <t>Hardcode</t>
        </is>
      </c>
      <c r="C6" s="382" t="n"/>
      <c r="D6" s="382" t="n"/>
      <c r="E6" s="382" t="n"/>
      <c r="F6" s="382" t="n"/>
      <c r="G6" s="382" t="n"/>
      <c r="N6" s="389" t="n"/>
    </row>
    <row r="7" ht="14" customHeight="1">
      <c r="B7" s="390" t="inlineStr">
        <is>
          <t xml:space="preserve">Hardcoded (Own Assumptions) </t>
        </is>
      </c>
      <c r="C7" s="391" t="n"/>
      <c r="D7" s="391" t="n"/>
      <c r="E7" s="391" t="n"/>
      <c r="F7" s="392" t="n"/>
      <c r="G7" s="393" t="n"/>
      <c r="H7" s="394" t="n"/>
      <c r="I7" s="394" t="n"/>
      <c r="J7" s="394" t="n"/>
      <c r="K7" s="394" t="n"/>
      <c r="L7" s="394" t="n"/>
      <c r="M7" s="394" t="n"/>
      <c r="N7" s="395" t="n"/>
    </row>
    <row r="8" ht="14" customHeight="1">
      <c r="B8" s="396" t="inlineStr">
        <is>
          <t xml:space="preserve">Formula (Own Assumptions) </t>
        </is>
      </c>
      <c r="C8" s="391" t="n"/>
      <c r="D8" s="391" t="n"/>
      <c r="E8" s="391" t="n"/>
      <c r="F8" s="392" t="n"/>
      <c r="G8" s="393" t="n"/>
      <c r="H8" s="394" t="n"/>
      <c r="I8" s="394" t="n"/>
      <c r="J8" s="394" t="n"/>
      <c r="K8" s="394" t="n"/>
      <c r="L8" s="394" t="n"/>
      <c r="M8" s="394" t="n"/>
      <c r="N8" s="395" t="n"/>
    </row>
    <row r="9" ht="14" customHeight="1">
      <c r="B9" s="397" t="inlineStr">
        <is>
          <t>Link from another sheet</t>
        </is>
      </c>
      <c r="C9" s="398" t="n"/>
      <c r="D9" s="398" t="n"/>
      <c r="E9" s="398" t="n"/>
      <c r="F9" s="398" t="n"/>
      <c r="G9" s="398" t="n"/>
      <c r="H9" s="399" t="n"/>
      <c r="I9" s="399" t="n"/>
      <c r="J9" s="399" t="n"/>
      <c r="K9" s="399" t="n"/>
      <c r="L9" s="399" t="n"/>
      <c r="M9" s="399" t="n"/>
      <c r="N9" s="400" t="n"/>
    </row>
    <row r="10" ht="14" customHeight="1">
      <c r="B10" s="401" t="n"/>
      <c r="C10" s="382" t="n"/>
      <c r="D10" s="382" t="n"/>
      <c r="E10" s="382" t="n"/>
      <c r="F10" s="382" t="n"/>
      <c r="G10" s="382" t="n"/>
    </row>
    <row r="11">
      <c r="B11" s="402" t="n"/>
    </row>
    <row r="12">
      <c r="B12" s="405" t="inlineStr">
        <is>
          <t xml:space="preserve">Model Output - Expectation </t>
        </is>
      </c>
      <c r="C12" s="406" t="n"/>
      <c r="D12" s="405" t="n"/>
      <c r="E12" s="405" t="n"/>
      <c r="F12" s="405" t="n"/>
      <c r="G12" s="405" t="n"/>
    </row>
    <row r="14">
      <c r="B14" s="380" t="inlineStr">
        <is>
          <t xml:space="preserve">Target Price - $ per share </t>
        </is>
      </c>
      <c r="G14" s="425">
        <f>'FCF &amp; Valuation'!H40</f>
        <v/>
      </c>
    </row>
    <row r="15">
      <c r="B15" s="380" t="inlineStr">
        <is>
          <t xml:space="preserve">Current Price, 15 March 2024 - $ per share </t>
        </is>
      </c>
      <c r="G15" s="425">
        <f>'FCF &amp; Valuation'!H41</f>
        <v/>
      </c>
    </row>
    <row r="16">
      <c r="B16" s="380" t="inlineStr">
        <is>
          <t xml:space="preserve">Potential upside </t>
        </is>
      </c>
      <c r="G16" s="426">
        <f>(G14-G15)/G15</f>
        <v/>
      </c>
    </row>
    <row r="17">
      <c r="B17" s="380" t="inlineStr">
        <is>
          <t xml:space="preserve">Call based on DCF Expectation </t>
        </is>
      </c>
      <c r="G17" s="404">
        <f>IF(G16&gt;0, "BUY", "SELL")</f>
        <v/>
      </c>
    </row>
    <row r="18">
      <c r="B18" s="402" t="n"/>
      <c r="I18" s="4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5" defaultRowHeight="15" customHeight="1"/>
  <cols>
    <col width="11.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zoomScale="113" zoomScaleNormal="75" workbookViewId="0">
      <selection activeCell="A1" sqref="A1"/>
    </sheetView>
  </sheetViews>
  <sheetFormatPr baseColWidth="10" defaultColWidth="11.5" defaultRowHeight="15" customHeight="1"/>
  <cols>
    <col width="2.6640625" customWidth="1" style="94" min="1" max="1"/>
    <col width="27.1640625" customWidth="1" style="70" min="2" max="2"/>
    <col hidden="1" style="70" min="3" max="7"/>
    <col width="17.83203125" bestFit="1" customWidth="1" style="70" min="8" max="8"/>
    <col width="11.5" bestFit="1" customWidth="1" style="70" min="9" max="9"/>
    <col width="12.5" bestFit="1" customWidth="1" style="70" min="10" max="10"/>
    <col width="13.5" bestFit="1" customWidth="1" style="70" min="11" max="13"/>
    <col width="14.83203125" bestFit="1" customWidth="1" style="70" min="14" max="15"/>
    <col width="11.5" customWidth="1" style="70" min="16" max="16384"/>
  </cols>
  <sheetData>
    <row r="1" ht="22.25" customFormat="1" customHeight="1" s="94">
      <c r="A1" s="92" t="n"/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</row>
    <row r="2" ht="14" customHeight="1">
      <c r="A2" s="92" t="n"/>
      <c r="B2" s="72" t="inlineStr">
        <is>
          <t>Free Cash Flow Schedule</t>
        </is>
      </c>
      <c r="C2" s="178" t="n"/>
      <c r="D2" s="178" t="n"/>
      <c r="E2" s="178" t="n"/>
      <c r="F2" s="178" t="n"/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</row>
    <row r="3" ht="14" customHeight="1">
      <c r="A3" s="92" t="n"/>
      <c r="B3" s="83" t="inlineStr">
        <is>
          <t>in $millions, unless otherwise specified</t>
        </is>
      </c>
    </row>
    <row r="4" ht="14" customHeight="1">
      <c r="A4" s="92" t="n"/>
      <c r="B4" s="83" t="n"/>
    </row>
    <row r="5" ht="14" customHeight="1">
      <c r="A5" s="92" t="n"/>
      <c r="B5" s="83" t="inlineStr">
        <is>
          <t xml:space="preserve">Fiscal year ending December 31, </t>
        </is>
      </c>
      <c r="C5" s="427">
        <f>2015</f>
        <v/>
      </c>
      <c r="D5" s="427">
        <f>C5+1</f>
        <v/>
      </c>
      <c r="E5" s="427">
        <f>D5+1</f>
        <v/>
      </c>
      <c r="F5" s="427">
        <f>E5+1</f>
        <v/>
      </c>
      <c r="G5" s="427">
        <f>F5+1</f>
        <v/>
      </c>
      <c r="H5" s="427">
        <f>G5+3</f>
        <v/>
      </c>
      <c r="I5" s="427">
        <f>H5+1</f>
        <v/>
      </c>
      <c r="J5" s="428">
        <f>I5+1</f>
        <v/>
      </c>
      <c r="K5" s="429">
        <f>J5+1</f>
        <v/>
      </c>
      <c r="L5" s="429">
        <f>K5+1</f>
        <v/>
      </c>
      <c r="M5" s="429">
        <f>L5+1</f>
        <v/>
      </c>
      <c r="N5" s="429">
        <f>M5+1</f>
        <v/>
      </c>
      <c r="O5" s="429">
        <f>N5+1</f>
        <v/>
      </c>
    </row>
    <row r="6" ht="14" customHeight="1">
      <c r="A6" s="92" t="n"/>
      <c r="B6" s="70" t="inlineStr">
        <is>
          <t>EBIT</t>
        </is>
      </c>
      <c r="H6" s="430">
        <f>'Costs &amp; Expenses Build'!C15-'Costs &amp; Expenses Build'!C23-'Costs &amp; Expenses Build'!C49</f>
        <v/>
      </c>
      <c r="I6" s="431">
        <f>'Costs &amp; Expenses Build'!D15-'Costs &amp; Expenses Build'!D23-'Costs &amp; Expenses Build'!D49</f>
        <v/>
      </c>
      <c r="J6" s="431">
        <f>'Costs &amp; Expenses Build'!E15-'Costs &amp; Expenses Build'!E23-'Costs &amp; Expenses Build'!E49</f>
        <v/>
      </c>
      <c r="K6" s="432">
        <f>'Costs &amp; Expenses Build'!F15-'Costs &amp; Expenses Build'!F23-'Costs &amp; Expenses Build'!F49</f>
        <v/>
      </c>
      <c r="L6" s="431">
        <f>'Costs &amp; Expenses Build'!G15-'Costs &amp; Expenses Build'!G23-'Costs &amp; Expenses Build'!G49</f>
        <v/>
      </c>
      <c r="M6" s="431">
        <f>'Costs &amp; Expenses Build'!H15-'Costs &amp; Expenses Build'!H23-'Costs &amp; Expenses Build'!H49</f>
        <v/>
      </c>
      <c r="N6" s="431">
        <f>'Costs &amp; Expenses Build'!I15-'Costs &amp; Expenses Build'!I23-'Costs &amp; Expenses Build'!I49</f>
        <v/>
      </c>
      <c r="O6" s="431">
        <f>'Costs &amp; Expenses Build'!J15-'Costs &amp; Expenses Build'!J23-'Costs &amp; Expenses Build'!J49</f>
        <v/>
      </c>
    </row>
    <row r="7" ht="14" customHeight="1">
      <c r="A7" s="92" t="n"/>
      <c r="B7" s="70" t="inlineStr">
        <is>
          <t xml:space="preserve"> ( - ) Tax</t>
        </is>
      </c>
      <c r="H7" s="430">
        <f>H6*20%</f>
        <v/>
      </c>
      <c r="I7" s="430">
        <f>I6*20%</f>
        <v/>
      </c>
      <c r="J7" s="430">
        <f>J6*20%</f>
        <v/>
      </c>
      <c r="K7" s="433">
        <f>K6*20%</f>
        <v/>
      </c>
      <c r="L7" s="430">
        <f>L6*20%</f>
        <v/>
      </c>
      <c r="M7" s="430">
        <f>M6*20%</f>
        <v/>
      </c>
      <c r="N7" s="430">
        <f>N6*20%</f>
        <v/>
      </c>
      <c r="O7" s="430">
        <f>O6*20%</f>
        <v/>
      </c>
    </row>
    <row r="8" ht="14" customHeight="1">
      <c r="A8" s="92" t="n"/>
      <c r="B8" s="70" t="inlineStr">
        <is>
          <t>NOPAT</t>
        </is>
      </c>
      <c r="C8" s="434" t="n"/>
      <c r="D8" s="434" t="n"/>
      <c r="E8" s="434" t="n"/>
      <c r="F8" s="434" t="n"/>
      <c r="G8" s="434" t="n"/>
      <c r="H8" s="431">
        <f>H6-H7</f>
        <v/>
      </c>
      <c r="I8" s="431">
        <f>I6-I7</f>
        <v/>
      </c>
      <c r="J8" s="435">
        <f>J6-J7</f>
        <v/>
      </c>
      <c r="K8" s="436">
        <f>K6-K7</f>
        <v/>
      </c>
      <c r="L8" s="437">
        <f>L6-L7</f>
        <v/>
      </c>
      <c r="M8" s="437">
        <f>M6-M7</f>
        <v/>
      </c>
      <c r="N8" s="437">
        <f>N6-N7</f>
        <v/>
      </c>
      <c r="O8" s="437">
        <f>O6-O7</f>
        <v/>
      </c>
    </row>
    <row r="9" ht="14" customHeight="1">
      <c r="A9" s="92" t="n"/>
      <c r="B9" s="190" t="inlineStr">
        <is>
          <t>( + ) D&amp;A</t>
        </is>
      </c>
      <c r="C9" s="434" t="n"/>
      <c r="D9" s="434" t="n"/>
      <c r="E9" s="434" t="n"/>
      <c r="F9" s="434" t="n"/>
      <c r="G9" s="434" t="n"/>
      <c r="H9" s="431">
        <f>'Costs &amp; Expenses Build'!C73</f>
        <v/>
      </c>
      <c r="I9" s="431">
        <f>'Costs &amp; Expenses Build'!D73</f>
        <v/>
      </c>
      <c r="J9" s="435">
        <f>'Costs &amp; Expenses Build'!E73</f>
        <v/>
      </c>
      <c r="K9" s="436">
        <f>'Costs &amp; Expenses Build'!F73</f>
        <v/>
      </c>
      <c r="L9" s="437">
        <f>'Costs &amp; Expenses Build'!G73</f>
        <v/>
      </c>
      <c r="M9" s="437">
        <f>'Costs &amp; Expenses Build'!H73</f>
        <v/>
      </c>
      <c r="N9" s="437">
        <f>'Costs &amp; Expenses Build'!I73</f>
        <v/>
      </c>
      <c r="O9" s="437">
        <f>'Costs &amp; Expenses Build'!J73</f>
        <v/>
      </c>
    </row>
    <row r="10" ht="14" customHeight="1">
      <c r="A10" s="92" t="n"/>
      <c r="B10" s="190" t="inlineStr">
        <is>
          <t>( - ) Changes in NWC</t>
        </is>
      </c>
      <c r="C10" s="434" t="n"/>
      <c r="D10" s="434" t="n"/>
      <c r="E10" s="434" t="n"/>
      <c r="F10" s="434" t="n"/>
      <c r="G10" s="434" t="n"/>
      <c r="H10" s="431" t="n"/>
      <c r="I10" s="431">
        <f>'Costs &amp; Expenses Build'!D57-'Costs &amp; Expenses Build'!C57</f>
        <v/>
      </c>
      <c r="J10" s="435">
        <f>'Costs &amp; Expenses Build'!E57-'Costs &amp; Expenses Build'!D57</f>
        <v/>
      </c>
      <c r="K10" s="436">
        <f>('Costs &amp; Expenses Build'!F57-'Costs &amp; Expenses Build'!E57)</f>
        <v/>
      </c>
      <c r="L10" s="437">
        <f>('Costs &amp; Expenses Build'!G57-'Costs &amp; Expenses Build'!F57)</f>
        <v/>
      </c>
      <c r="M10" s="437">
        <f>('Costs &amp; Expenses Build'!H57-'Costs &amp; Expenses Build'!G57)</f>
        <v/>
      </c>
      <c r="N10" s="437">
        <f>('Costs &amp; Expenses Build'!I57-'Costs &amp; Expenses Build'!H57)</f>
        <v/>
      </c>
      <c r="O10" s="437">
        <f>('Costs &amp; Expenses Build'!J57-'Costs &amp; Expenses Build'!I57)</f>
        <v/>
      </c>
    </row>
    <row r="11" ht="14" customHeight="1">
      <c r="A11" s="92" t="n"/>
      <c r="B11" s="190" t="inlineStr">
        <is>
          <t>( - ) CapEx</t>
        </is>
      </c>
      <c r="C11" s="434" t="n"/>
      <c r="D11" s="434" t="n"/>
      <c r="E11" s="434" t="n"/>
      <c r="F11" s="434" t="n"/>
      <c r="G11" s="434" t="n"/>
      <c r="H11" s="431">
        <f>'Costs &amp; Expenses Build'!C66</f>
        <v/>
      </c>
      <c r="I11" s="431">
        <f>'Costs &amp; Expenses Build'!D66</f>
        <v/>
      </c>
      <c r="J11" s="435">
        <f>'Costs &amp; Expenses Build'!E66</f>
        <v/>
      </c>
      <c r="K11" s="436">
        <f>'Costs &amp; Expenses Build'!F66</f>
        <v/>
      </c>
      <c r="L11" s="437">
        <f>'Costs &amp; Expenses Build'!G66</f>
        <v/>
      </c>
      <c r="M11" s="437">
        <f>'Costs &amp; Expenses Build'!H66</f>
        <v/>
      </c>
      <c r="N11" s="437">
        <f>'Costs &amp; Expenses Build'!I66</f>
        <v/>
      </c>
      <c r="O11" s="437">
        <f>'Costs &amp; Expenses Build'!J66</f>
        <v/>
      </c>
    </row>
    <row r="12" ht="14" customHeight="1">
      <c r="A12" s="92" t="n"/>
      <c r="B12" s="191" t="inlineStr">
        <is>
          <t>UFCF</t>
        </is>
      </c>
      <c r="C12" s="438">
        <f>C8+C9-C10-C11</f>
        <v/>
      </c>
      <c r="D12" s="438">
        <f>D8+D9-D10-D11</f>
        <v/>
      </c>
      <c r="E12" s="438">
        <f>E8+E9-E10-E11</f>
        <v/>
      </c>
      <c r="F12" s="438">
        <f>F8+F9-F10-F11</f>
        <v/>
      </c>
      <c r="G12" s="438">
        <f>G8+G9-G10-G11</f>
        <v/>
      </c>
      <c r="H12" s="438">
        <f>H8+H9-H10-H11</f>
        <v/>
      </c>
      <c r="I12" s="438">
        <f>I8+I9-I10-I11</f>
        <v/>
      </c>
      <c r="J12" s="439">
        <f>J8+J9-J10-J11</f>
        <v/>
      </c>
      <c r="K12" s="438">
        <f>K8+K9-K10-K11</f>
        <v/>
      </c>
      <c r="L12" s="438">
        <f>L8+L9-L10-L11</f>
        <v/>
      </c>
      <c r="M12" s="438">
        <f>M8+M9-M10-M11</f>
        <v/>
      </c>
      <c r="N12" s="438">
        <f>N8+N9-N10-N11</f>
        <v/>
      </c>
      <c r="O12" s="438">
        <f>O8+O9-O10-O11</f>
        <v/>
      </c>
    </row>
    <row r="13" ht="14" customHeight="1">
      <c r="A13" s="92" t="n"/>
      <c r="B13" s="70" t="inlineStr">
        <is>
          <t>Discount Factor</t>
        </is>
      </c>
      <c r="J13" s="194" t="n"/>
      <c r="K13" s="195">
        <f>1/(1+H27)^1</f>
        <v/>
      </c>
      <c r="L13" s="196">
        <f>1/(1+H27)^2</f>
        <v/>
      </c>
      <c r="M13" s="196">
        <f>1/(1+H27)^3</f>
        <v/>
      </c>
      <c r="N13" s="196">
        <f>1/(1+H27)^4</f>
        <v/>
      </c>
      <c r="O13" s="196">
        <f>1/(1+H27)^5</f>
        <v/>
      </c>
    </row>
    <row r="14" ht="14" customHeight="1">
      <c r="A14" s="92" t="n"/>
      <c r="B14" s="70" t="inlineStr">
        <is>
          <t>PV of UFCF</t>
        </is>
      </c>
      <c r="D14" s="197" t="n"/>
      <c r="E14" s="197" t="n"/>
      <c r="F14" s="197" t="n"/>
      <c r="G14" s="197" t="n"/>
      <c r="H14" s="440" t="n"/>
      <c r="I14" s="197" t="n"/>
      <c r="J14" s="199" t="n"/>
      <c r="K14" s="441">
        <f>K12*K13</f>
        <v/>
      </c>
      <c r="L14" s="442">
        <f>L12*L13</f>
        <v/>
      </c>
      <c r="M14" s="442">
        <f>M12*M13</f>
        <v/>
      </c>
      <c r="N14" s="442">
        <f>N12*N13</f>
        <v/>
      </c>
      <c r="O14" s="442">
        <f>O12*O13</f>
        <v/>
      </c>
    </row>
    <row r="15" ht="14" customHeight="1">
      <c r="A15" s="92" t="n"/>
      <c r="B15" s="70" t="inlineStr">
        <is>
          <t>Sum PV of UFCF</t>
        </is>
      </c>
      <c r="H15" s="440">
        <f>SUM(K14:O14)</f>
        <v/>
      </c>
    </row>
    <row r="16" ht="14" customHeight="1">
      <c r="A16" s="92" t="n"/>
    </row>
    <row r="17" ht="14" customHeight="1">
      <c r="A17" s="92" t="n"/>
    </row>
    <row r="18" ht="14" customHeight="1">
      <c r="A18" s="92" t="n"/>
      <c r="B18" s="72" t="inlineStr">
        <is>
          <t>WACC</t>
        </is>
      </c>
      <c r="C18" s="202" t="n"/>
      <c r="H18" s="203" t="n"/>
    </row>
    <row r="19" ht="14" customHeight="1">
      <c r="A19" s="92" t="n"/>
      <c r="B19" s="70" t="inlineStr">
        <is>
          <t>Risk Free Rate</t>
        </is>
      </c>
      <c r="H19" s="204">
        <f>'WACC Build'!C5</f>
        <v/>
      </c>
    </row>
    <row r="20" ht="14" customHeight="1">
      <c r="A20" s="92" t="n"/>
      <c r="B20" s="70" t="inlineStr">
        <is>
          <t>Market Risk Premium</t>
        </is>
      </c>
      <c r="H20" s="204" t="n">
        <v>0.0433</v>
      </c>
      <c r="K20" s="440" t="n"/>
      <c r="L20" s="443" t="n"/>
      <c r="M20" s="443" t="n"/>
      <c r="N20" s="443" t="n"/>
      <c r="O20" s="443" t="n"/>
    </row>
    <row r="21" ht="14" customHeight="1">
      <c r="A21" s="92" t="n"/>
      <c r="B21" s="73" t="inlineStr">
        <is>
          <t>180D Beta</t>
        </is>
      </c>
      <c r="C21" s="73" t="n"/>
      <c r="H21" s="70" t="n">
        <v>1.06</v>
      </c>
      <c r="K21" s="443" t="n"/>
    </row>
    <row r="22" ht="14" customHeight="1">
      <c r="A22" s="92" t="n"/>
      <c r="B22" s="70" t="inlineStr">
        <is>
          <t>Market Cap</t>
        </is>
      </c>
      <c r="H22" s="90" t="n">
        <v>30291.5</v>
      </c>
      <c r="K22" s="443" t="n"/>
    </row>
    <row r="23" ht="14" customHeight="1">
      <c r="A23" s="92" t="n"/>
      <c r="B23" s="70" t="inlineStr">
        <is>
          <t>Debt Outstanding</t>
        </is>
      </c>
      <c r="H23" s="206" t="n">
        <v>2353.6</v>
      </c>
      <c r="K23" s="197" t="n"/>
    </row>
    <row r="24" ht="14" customHeight="1">
      <c r="A24" s="92" t="n"/>
      <c r="B24" s="70" t="inlineStr">
        <is>
          <t>Cost of Debt</t>
        </is>
      </c>
      <c r="H24" s="204">
        <f>'WACC Build'!C7</f>
        <v/>
      </c>
      <c r="K24" s="443" t="n"/>
    </row>
    <row r="25" ht="14" customHeight="1">
      <c r="A25" s="92" t="n"/>
      <c r="B25" s="76" t="inlineStr">
        <is>
          <t>Cost of Equity</t>
        </is>
      </c>
      <c r="C25" s="76" t="n"/>
      <c r="D25" s="76" t="n"/>
      <c r="E25" s="76" t="n"/>
      <c r="F25" s="76" t="n"/>
      <c r="G25" s="76" t="n"/>
      <c r="H25" s="208">
        <f>H19+H21*(H20-H19)</f>
        <v/>
      </c>
      <c r="K25" s="443" t="n"/>
    </row>
    <row r="26" ht="14" customHeight="1">
      <c r="A26" s="92" t="n"/>
      <c r="B26" s="76" t="inlineStr">
        <is>
          <t>Tax Rate</t>
        </is>
      </c>
      <c r="C26" s="76" t="n"/>
      <c r="D26" s="76" t="n"/>
      <c r="E26" s="76" t="n"/>
      <c r="F26" s="76" t="n"/>
      <c r="G26" s="76" t="n"/>
      <c r="H26" s="208" t="n">
        <v>0.21</v>
      </c>
      <c r="K26" s="443" t="n"/>
    </row>
    <row r="27" ht="14" customHeight="1">
      <c r="A27" s="209" t="n"/>
      <c r="B27" s="191" t="inlineStr">
        <is>
          <t>WACC</t>
        </is>
      </c>
      <c r="C27" s="191" t="n"/>
      <c r="D27" s="191" t="n"/>
      <c r="E27" s="191" t="n"/>
      <c r="F27" s="191" t="n"/>
      <c r="G27" s="191" t="n"/>
      <c r="H27" s="276">
        <f>(H23/(H23+H22))*H24*(1-H26)+(H22/(H23+H22))*H25</f>
        <v/>
      </c>
      <c r="I27" s="76" t="n"/>
    </row>
    <row r="28" ht="14" customHeight="1">
      <c r="A28" s="92" t="n"/>
      <c r="B28" s="76" t="n"/>
      <c r="C28" s="76" t="n"/>
      <c r="D28" s="76" t="n"/>
      <c r="E28" s="76" t="n"/>
      <c r="F28" s="76" t="n"/>
      <c r="G28" s="76" t="n"/>
      <c r="H28" s="76" t="n"/>
    </row>
    <row r="29" ht="14" customHeight="1">
      <c r="A29" s="92" t="n"/>
      <c r="B29" s="72" t="inlineStr">
        <is>
          <t>Valuation</t>
        </is>
      </c>
      <c r="C29" s="202" t="n"/>
      <c r="H29" s="203" t="n"/>
    </row>
    <row r="30" ht="14" customHeight="1">
      <c r="A30" s="92" t="n"/>
      <c r="B30" s="70" t="inlineStr">
        <is>
          <t>Terminal Growth Rate</t>
        </is>
      </c>
      <c r="H30" s="443" t="n">
        <v>0.02</v>
      </c>
    </row>
    <row r="31" ht="14" customHeight="1">
      <c r="A31" s="92" t="n"/>
      <c r="B31" s="73" t="inlineStr">
        <is>
          <t>Discount Rate</t>
        </is>
      </c>
      <c r="C31" s="73" t="n"/>
      <c r="H31" s="197">
        <f>H27</f>
        <v/>
      </c>
    </row>
    <row r="32" ht="14" customHeight="1">
      <c r="A32" s="92" t="n"/>
      <c r="B32" s="76" t="inlineStr">
        <is>
          <t>Sum of PV of UFCF</t>
        </is>
      </c>
      <c r="C32" s="76" t="n"/>
      <c r="H32" s="444">
        <f>H15</f>
        <v/>
      </c>
    </row>
    <row r="33" ht="14" customHeight="1">
      <c r="A33" s="92" t="n"/>
      <c r="B33" s="76" t="inlineStr">
        <is>
          <t>TV</t>
        </is>
      </c>
      <c r="C33" s="76" t="n"/>
      <c r="H33" s="445">
        <f>O12*(1+H30)/(H31-H30)</f>
        <v/>
      </c>
    </row>
    <row r="34" ht="14" customHeight="1">
      <c r="A34" s="92" t="n"/>
      <c r="B34" s="73" t="inlineStr">
        <is>
          <t>PV of TV</t>
        </is>
      </c>
      <c r="C34" s="73" t="n"/>
      <c r="H34" s="445">
        <f>H33/(1+H27)^5</f>
        <v/>
      </c>
    </row>
    <row r="35" ht="14" customHeight="1">
      <c r="A35" s="92" t="n"/>
      <c r="B35" s="76" t="inlineStr">
        <is>
          <t>EV</t>
        </is>
      </c>
      <c r="C35" s="76" t="n"/>
      <c r="H35" s="444">
        <f>H34+H15</f>
        <v/>
      </c>
    </row>
    <row r="36" ht="14" customHeight="1">
      <c r="A36" s="92" t="n"/>
      <c r="B36" s="76" t="inlineStr">
        <is>
          <t>Cash</t>
        </is>
      </c>
      <c r="C36" s="76" t="n"/>
      <c r="H36" s="445">
        <f>'Balance Sheet'!K20</f>
        <v/>
      </c>
    </row>
    <row r="37" ht="14" customHeight="1">
      <c r="A37" s="92" t="n"/>
      <c r="B37" s="73" t="inlineStr">
        <is>
          <t>Debt</t>
        </is>
      </c>
      <c r="C37" s="73" t="n"/>
      <c r="H37" s="445">
        <f>'Balance Sheet'!K66+'Balance Sheet'!K78</f>
        <v/>
      </c>
    </row>
    <row r="38" ht="14" customHeight="1">
      <c r="A38" s="92" t="n"/>
      <c r="B38" s="77" t="inlineStr">
        <is>
          <t>EqV</t>
        </is>
      </c>
      <c r="C38" s="77" t="n"/>
      <c r="D38" s="75" t="n"/>
      <c r="E38" s="75" t="n"/>
      <c r="F38" s="75" t="n"/>
      <c r="G38" s="75" t="n"/>
      <c r="H38" s="446">
        <f>H35+H36-H37</f>
        <v/>
      </c>
    </row>
    <row r="39" ht="14" customHeight="1">
      <c r="A39" s="92" t="n"/>
      <c r="B39" s="73" t="inlineStr">
        <is>
          <t>Diluted Shares Outstanding</t>
        </is>
      </c>
      <c r="C39" s="73" t="n"/>
      <c r="H39" s="445" t="n">
        <v>138.95</v>
      </c>
    </row>
    <row r="40" ht="14" customHeight="1">
      <c r="A40" s="92" t="n"/>
      <c r="B40" s="76" t="inlineStr">
        <is>
          <t>Implied Share Price</t>
        </is>
      </c>
      <c r="C40" s="76" t="n"/>
      <c r="H40" s="444">
        <f>H38/H39</f>
        <v/>
      </c>
    </row>
    <row r="41" ht="14" customHeight="1">
      <c r="A41" s="92" t="n"/>
      <c r="B41" s="76" t="inlineStr">
        <is>
          <t>Current Share Price</t>
        </is>
      </c>
      <c r="C41" s="76" t="n"/>
      <c r="H41" s="447" t="n">
        <v>242</v>
      </c>
    </row>
    <row r="42" ht="14" customHeight="1">
      <c r="A42" s="92" t="n"/>
      <c r="B42" s="191" t="inlineStr">
        <is>
          <t>Implied Upside</t>
        </is>
      </c>
      <c r="C42" s="90" t="n"/>
      <c r="D42" s="90" t="n"/>
      <c r="E42" s="90" t="n"/>
      <c r="F42" s="90" t="n"/>
      <c r="G42" s="90" t="n"/>
      <c r="H42" s="448">
        <f>(H40-H41)/H41</f>
        <v/>
      </c>
    </row>
    <row r="43" ht="14" customHeight="1">
      <c r="A43" s="92" t="n"/>
    </row>
    <row r="44" ht="14" customHeight="1">
      <c r="A44" s="95" t="n"/>
    </row>
    <row r="45" ht="14" customHeight="1">
      <c r="A45" s="92" t="n"/>
    </row>
    <row r="46" ht="14" customHeight="1">
      <c r="A46" s="92" t="n"/>
    </row>
    <row r="47" ht="14" customHeight="1">
      <c r="A47" s="92" t="n"/>
    </row>
    <row r="48" ht="14" customHeight="1">
      <c r="A48" s="92" t="n"/>
    </row>
    <row r="49" ht="14" customHeight="1">
      <c r="A49" s="212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5"/>
  <sheetViews>
    <sheetView showGridLines="0" zoomScale="90" zoomScaleNormal="75" workbookViewId="0">
      <selection activeCell="A1" sqref="A1"/>
    </sheetView>
  </sheetViews>
  <sheetFormatPr baseColWidth="10" defaultColWidth="9.1640625" defaultRowHeight="14"/>
  <cols>
    <col width="2.6640625" customWidth="1" style="324" min="1" max="1"/>
    <col width="49" bestFit="1" customWidth="1" style="70" min="2" max="2"/>
    <col hidden="1" style="70" min="3" max="5"/>
    <col hidden="1" width="2.5" customWidth="1" style="70" min="6" max="6"/>
    <col hidden="1" width="2.6640625" customWidth="1" style="70" min="7" max="7"/>
    <col width="16.1640625" bestFit="1" customWidth="1" style="70" min="8" max="15"/>
    <col width="12.1640625" bestFit="1" customWidth="1" style="70" min="16" max="16"/>
    <col width="9.1640625" customWidth="1" style="70" min="17" max="16384"/>
  </cols>
  <sheetData>
    <row r="1"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6" t="n"/>
      <c r="AB1" s="76" t="n"/>
      <c r="AC1" s="76" t="n"/>
      <c r="AD1" s="76" t="n"/>
    </row>
    <row r="2">
      <c r="A2" s="325" t="inlineStr">
        <is>
          <t>x</t>
        </is>
      </c>
      <c r="B2" s="96" t="inlineStr">
        <is>
          <t>Revenue Build</t>
        </is>
      </c>
      <c r="C2" s="97" t="n"/>
      <c r="D2" s="97" t="n"/>
      <c r="E2" s="97" t="n"/>
      <c r="F2" s="97" t="n"/>
      <c r="G2" s="379" t="n"/>
      <c r="H2" s="97" t="n"/>
      <c r="I2" s="97" t="n"/>
      <c r="J2" s="97" t="n"/>
      <c r="K2" s="97" t="n"/>
      <c r="L2" s="97" t="n"/>
      <c r="M2" s="97" t="n"/>
      <c r="N2" s="97" t="n"/>
      <c r="O2" s="97" t="n"/>
      <c r="P2" s="326" t="n"/>
      <c r="Q2" s="326" t="n"/>
      <c r="R2" s="326" t="n"/>
      <c r="S2" s="326" t="n"/>
      <c r="T2" s="326" t="n"/>
      <c r="U2" s="326" t="n"/>
      <c r="V2" s="326" t="n"/>
      <c r="W2" s="326" t="n"/>
      <c r="X2" s="326" t="n"/>
      <c r="Y2" s="326" t="n"/>
      <c r="Z2" s="326" t="n"/>
      <c r="AA2" s="326" t="n"/>
      <c r="AB2" s="326" t="n"/>
      <c r="AC2" s="326" t="n"/>
      <c r="AD2" s="326" t="n"/>
    </row>
    <row r="3">
      <c r="A3" s="325" t="n"/>
      <c r="B3" s="83" t="inlineStr">
        <is>
          <t>in $millions, unless otherwise specified</t>
        </is>
      </c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</row>
    <row r="4">
      <c r="A4" s="325" t="n"/>
      <c r="B4" s="83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  <c r="AA4" s="76" t="n"/>
      <c r="AB4" s="76" t="n"/>
      <c r="AC4" s="76" t="n"/>
      <c r="AD4" s="76" t="n"/>
    </row>
    <row r="5">
      <c r="A5" s="325" t="n"/>
      <c r="B5" s="83" t="inlineStr">
        <is>
          <t xml:space="preserve">Fiscal year ending December 31, </t>
        </is>
      </c>
      <c r="C5" s="449">
        <f>2015</f>
        <v/>
      </c>
      <c r="D5" s="449">
        <f>C5+1</f>
        <v/>
      </c>
      <c r="E5" s="449">
        <f>D5+1</f>
        <v/>
      </c>
      <c r="F5" s="449">
        <f>E5+1</f>
        <v/>
      </c>
      <c r="G5" s="449">
        <f>F5+1</f>
        <v/>
      </c>
      <c r="H5" s="449">
        <f>G5+3</f>
        <v/>
      </c>
      <c r="I5" s="449">
        <f>H5+1</f>
        <v/>
      </c>
      <c r="J5" s="450">
        <f>I5+1</f>
        <v/>
      </c>
      <c r="K5" s="451">
        <f>J5+1</f>
        <v/>
      </c>
      <c r="L5" s="451">
        <f>K5+1</f>
        <v/>
      </c>
      <c r="M5" s="451">
        <f>L5+1</f>
        <v/>
      </c>
      <c r="N5" s="451">
        <f>M5+1</f>
        <v/>
      </c>
      <c r="O5" s="451">
        <f>N5+1</f>
        <v/>
      </c>
      <c r="P5" s="452" t="n"/>
      <c r="Q5" s="452" t="n"/>
      <c r="R5" s="452" t="n"/>
      <c r="S5" s="452" t="n"/>
      <c r="T5" s="452" t="n"/>
      <c r="U5" s="452" t="n"/>
      <c r="V5" s="452" t="n"/>
      <c r="W5" s="452" t="n"/>
      <c r="X5" s="452" t="n"/>
      <c r="Y5" s="452" t="n"/>
      <c r="Z5" s="452" t="n"/>
      <c r="AA5" s="452" t="n"/>
      <c r="AB5" s="452" t="n"/>
      <c r="AC5" s="452" t="n"/>
      <c r="AD5" s="452" t="n"/>
    </row>
    <row r="6">
      <c r="A6" s="325" t="n"/>
      <c r="B6" s="453" t="inlineStr">
        <is>
          <t>Flight Support Group</t>
        </is>
      </c>
      <c r="C6" s="454" t="n">
        <v>140.936</v>
      </c>
      <c r="D6" s="454" t="n">
        <v>173.54</v>
      </c>
      <c r="E6" s="454" t="n">
        <v>236.283</v>
      </c>
      <c r="F6" s="454" t="n">
        <v>291.072</v>
      </c>
      <c r="G6" s="455" t="n">
        <v>337.375</v>
      </c>
      <c r="H6" s="456" t="n"/>
      <c r="I6" s="456" t="n"/>
      <c r="J6" s="457" t="n"/>
      <c r="K6" s="447" t="n"/>
      <c r="L6" s="445" t="n"/>
      <c r="M6" s="445" t="n"/>
      <c r="N6" s="445" t="n"/>
      <c r="O6" s="445" t="n"/>
      <c r="P6" s="447" t="n"/>
      <c r="Q6" s="458" t="n"/>
      <c r="R6" s="458" t="n"/>
      <c r="S6" s="458" t="n"/>
      <c r="T6" s="458" t="n"/>
      <c r="U6" s="458" t="n"/>
      <c r="V6" s="458" t="n"/>
      <c r="W6" s="458" t="n"/>
      <c r="X6" s="458" t="n"/>
      <c r="Y6" s="458" t="n"/>
      <c r="Z6" s="458" t="n"/>
      <c r="AA6" s="458" t="n"/>
      <c r="AB6" s="458" t="n"/>
      <c r="AC6" s="458" t="n"/>
      <c r="AD6" s="458" t="n"/>
    </row>
    <row r="7">
      <c r="A7" s="325" t="n"/>
      <c r="B7" s="459" t="inlineStr">
        <is>
          <t xml:space="preserve">    After Market Business</t>
        </is>
      </c>
      <c r="C7" s="454" t="n"/>
      <c r="D7" s="454" t="n"/>
      <c r="E7" s="454" t="n"/>
      <c r="F7" s="454" t="n"/>
      <c r="G7" s="455" t="n"/>
      <c r="H7" s="456">
        <f>'Income Statement + Forecast'!C24</f>
        <v/>
      </c>
      <c r="I7" s="456">
        <f>'Income Statement + Forecast'!D24</f>
        <v/>
      </c>
      <c r="J7" s="457">
        <f>'Income Statement + Forecast'!E24</f>
        <v/>
      </c>
      <c r="K7" s="456">
        <f>'Income Statement + Forecast'!F24</f>
        <v/>
      </c>
      <c r="L7" s="460">
        <f>'Income Statement + Forecast'!G24</f>
        <v/>
      </c>
      <c r="M7" s="460">
        <f>'Income Statement + Forecast'!H24</f>
        <v/>
      </c>
      <c r="N7" s="460">
        <f>'Income Statement + Forecast'!I24</f>
        <v/>
      </c>
      <c r="O7" s="460">
        <f>'Income Statement + Forecast'!J24</f>
        <v/>
      </c>
      <c r="P7" s="447" t="n"/>
      <c r="Q7" s="458" t="n"/>
      <c r="R7" s="458" t="n"/>
      <c r="S7" s="458" t="n"/>
      <c r="T7" s="458" t="n"/>
      <c r="U7" s="458" t="n"/>
      <c r="V7" s="458" t="n"/>
      <c r="W7" s="458" t="n"/>
      <c r="X7" s="458" t="n"/>
      <c r="Y7" s="458" t="n"/>
      <c r="Z7" s="458" t="n"/>
      <c r="AA7" s="458" t="n"/>
      <c r="AB7" s="458" t="n"/>
      <c r="AC7" s="458" t="n"/>
      <c r="AD7" s="458" t="n"/>
    </row>
    <row r="8" customFormat="1" s="197">
      <c r="A8" s="332" t="n"/>
      <c r="B8" s="333" t="inlineStr">
        <is>
          <t xml:space="preserve">         % of Growth</t>
        </is>
      </c>
      <c r="C8" s="334" t="n"/>
      <c r="D8" s="334" t="n"/>
      <c r="E8" s="334" t="n"/>
      <c r="F8" s="334" t="n"/>
      <c r="G8" s="363" t="n"/>
      <c r="H8" s="335">
        <f>'Income Statement + Forecast'!C25</f>
        <v/>
      </c>
      <c r="I8" s="335">
        <f>'Income Statement + Forecast'!D25</f>
        <v/>
      </c>
      <c r="J8" s="336">
        <f>'Income Statement + Forecast'!E25</f>
        <v/>
      </c>
      <c r="K8" s="335">
        <f>'Income Statement + Forecast'!F25</f>
        <v/>
      </c>
      <c r="L8" s="337">
        <f>'Income Statement + Forecast'!G25</f>
        <v/>
      </c>
      <c r="M8" s="337">
        <f>'Income Statement + Forecast'!H25</f>
        <v/>
      </c>
      <c r="N8" s="337">
        <f>'Income Statement + Forecast'!I25</f>
        <v/>
      </c>
      <c r="O8" s="337">
        <f>'Income Statement + Forecast'!J25</f>
        <v/>
      </c>
      <c r="P8" s="338" t="n"/>
      <c r="Q8" s="339" t="n"/>
      <c r="R8" s="339" t="n"/>
      <c r="S8" s="339" t="n"/>
      <c r="T8" s="339" t="n"/>
      <c r="U8" s="339" t="n"/>
      <c r="V8" s="339" t="n"/>
      <c r="W8" s="339" t="n"/>
      <c r="X8" s="339" t="n"/>
      <c r="Y8" s="339" t="n"/>
      <c r="Z8" s="339" t="n"/>
      <c r="AA8" s="339" t="n"/>
      <c r="AB8" s="339" t="n"/>
      <c r="AC8" s="339" t="n"/>
      <c r="AD8" s="339" t="n"/>
    </row>
    <row r="9" customFormat="1" s="197">
      <c r="A9" s="332" t="n"/>
      <c r="B9" s="459" t="inlineStr">
        <is>
          <t xml:space="preserve">    Repair and Overhaul Parts and Services</t>
        </is>
      </c>
      <c r="C9" s="334" t="n"/>
      <c r="D9" s="334" t="n"/>
      <c r="E9" s="334" t="n"/>
      <c r="F9" s="334" t="n"/>
      <c r="G9" s="363" t="n"/>
      <c r="H9" s="461">
        <f>'Income Statement + Forecast'!C29</f>
        <v/>
      </c>
      <c r="I9" s="461">
        <f>'Income Statement + Forecast'!D29</f>
        <v/>
      </c>
      <c r="J9" s="462">
        <f>'Income Statement + Forecast'!E29</f>
        <v/>
      </c>
      <c r="K9" s="461">
        <f>'Income Statement + Forecast'!F29</f>
        <v/>
      </c>
      <c r="L9" s="463">
        <f>'Income Statement + Forecast'!G29</f>
        <v/>
      </c>
      <c r="M9" s="463">
        <f>'Income Statement + Forecast'!H29</f>
        <v/>
      </c>
      <c r="N9" s="463">
        <f>'Income Statement + Forecast'!I29</f>
        <v/>
      </c>
      <c r="O9" s="463">
        <f>'Income Statement + Forecast'!J29</f>
        <v/>
      </c>
      <c r="P9" s="338" t="n"/>
      <c r="Q9" s="339" t="n"/>
      <c r="R9" s="339" t="n"/>
      <c r="S9" s="339" t="n"/>
      <c r="T9" s="339" t="n"/>
      <c r="U9" s="339" t="n"/>
      <c r="V9" s="339" t="n"/>
      <c r="W9" s="339" t="n"/>
      <c r="X9" s="339" t="n"/>
      <c r="Y9" s="339" t="n"/>
      <c r="Z9" s="339" t="n"/>
      <c r="AA9" s="339" t="n"/>
      <c r="AB9" s="339" t="n"/>
      <c r="AC9" s="339" t="n"/>
      <c r="AD9" s="339" t="n"/>
    </row>
    <row r="10" customFormat="1" s="197">
      <c r="A10" s="332" t="n"/>
      <c r="B10" s="333" t="inlineStr">
        <is>
          <t xml:space="preserve">         % of Growth</t>
        </is>
      </c>
      <c r="C10" s="334" t="n"/>
      <c r="D10" s="334" t="n"/>
      <c r="E10" s="334" t="n"/>
      <c r="F10" s="334" t="n"/>
      <c r="G10" s="363" t="n"/>
      <c r="H10" s="343">
        <f>'Income Statement + Forecast'!C30</f>
        <v/>
      </c>
      <c r="I10" s="343">
        <f>'Income Statement + Forecast'!D30</f>
        <v/>
      </c>
      <c r="J10" s="344">
        <f>'Income Statement + Forecast'!E30</f>
        <v/>
      </c>
      <c r="K10" s="343">
        <f>'Income Statement + Forecast'!F30</f>
        <v/>
      </c>
      <c r="L10" s="345">
        <f>'Income Statement + Forecast'!G30</f>
        <v/>
      </c>
      <c r="M10" s="345">
        <f>'Income Statement + Forecast'!H30</f>
        <v/>
      </c>
      <c r="N10" s="345">
        <f>'Income Statement + Forecast'!I30</f>
        <v/>
      </c>
      <c r="O10" s="345">
        <f>'Income Statement + Forecast'!J30</f>
        <v/>
      </c>
      <c r="P10" s="338" t="n"/>
      <c r="Q10" s="339" t="n"/>
      <c r="R10" s="339" t="n"/>
      <c r="S10" s="339" t="n"/>
      <c r="T10" s="339" t="n"/>
      <c r="U10" s="339" t="n"/>
      <c r="V10" s="339" t="n"/>
      <c r="W10" s="339" t="n"/>
      <c r="X10" s="339" t="n"/>
      <c r="Y10" s="339" t="n"/>
      <c r="Z10" s="339" t="n"/>
      <c r="AA10" s="339" t="n"/>
      <c r="AB10" s="339" t="n"/>
      <c r="AC10" s="339" t="n"/>
      <c r="AD10" s="339" t="n"/>
    </row>
    <row r="11" customFormat="1" s="197">
      <c r="A11" s="332" t="n"/>
      <c r="B11" s="459" t="inlineStr">
        <is>
          <t xml:space="preserve">    Specialty Products</t>
        </is>
      </c>
      <c r="C11" s="334" t="n"/>
      <c r="D11" s="334" t="n"/>
      <c r="E11" s="334" t="n"/>
      <c r="F11" s="334" t="n"/>
      <c r="G11" s="363" t="n"/>
      <c r="H11" s="461">
        <f>'Income Statement + Forecast'!C34</f>
        <v/>
      </c>
      <c r="I11" s="461">
        <f>'Income Statement + Forecast'!D34</f>
        <v/>
      </c>
      <c r="J11" s="462">
        <f>'Income Statement + Forecast'!E34</f>
        <v/>
      </c>
      <c r="K11" s="461">
        <f>'Income Statement + Forecast'!F34</f>
        <v/>
      </c>
      <c r="L11" s="463">
        <f>'Income Statement + Forecast'!G34</f>
        <v/>
      </c>
      <c r="M11" s="463">
        <f>'Income Statement + Forecast'!H34</f>
        <v/>
      </c>
      <c r="N11" s="463">
        <f>'Income Statement + Forecast'!I34</f>
        <v/>
      </c>
      <c r="O11" s="463">
        <f>'Income Statement + Forecast'!J34</f>
        <v/>
      </c>
      <c r="P11" s="338" t="n"/>
      <c r="Q11" s="339" t="n"/>
      <c r="R11" s="339" t="n"/>
      <c r="S11" s="339" t="n"/>
      <c r="T11" s="339" t="n"/>
      <c r="U11" s="339" t="n"/>
      <c r="V11" s="339" t="n"/>
      <c r="W11" s="339" t="n"/>
      <c r="X11" s="339" t="n"/>
      <c r="Y11" s="339" t="n"/>
      <c r="Z11" s="339" t="n"/>
      <c r="AA11" s="339" t="n"/>
      <c r="AB11" s="339" t="n"/>
      <c r="AC11" s="339" t="n"/>
      <c r="AD11" s="339" t="n"/>
    </row>
    <row r="12" customFormat="1" s="197">
      <c r="A12" s="332" t="n"/>
      <c r="B12" s="333" t="inlineStr">
        <is>
          <t xml:space="preserve">         % of Growth</t>
        </is>
      </c>
      <c r="C12" s="334" t="n"/>
      <c r="D12" s="334" t="n"/>
      <c r="E12" s="334" t="n"/>
      <c r="F12" s="334" t="n"/>
      <c r="G12" s="363" t="n"/>
      <c r="H12" s="343">
        <f>'Income Statement + Forecast'!C35</f>
        <v/>
      </c>
      <c r="I12" s="343">
        <f>'Income Statement + Forecast'!D35</f>
        <v/>
      </c>
      <c r="J12" s="344">
        <f>'Income Statement + Forecast'!E35</f>
        <v/>
      </c>
      <c r="K12" s="343">
        <f>'Income Statement + Forecast'!F35</f>
        <v/>
      </c>
      <c r="L12" s="345">
        <f>'Income Statement + Forecast'!G35</f>
        <v/>
      </c>
      <c r="M12" s="345">
        <f>'Income Statement + Forecast'!H35</f>
        <v/>
      </c>
      <c r="N12" s="345">
        <f>'Income Statement + Forecast'!I35</f>
        <v/>
      </c>
      <c r="O12" s="345">
        <f>'Income Statement + Forecast'!J35</f>
        <v/>
      </c>
      <c r="P12" s="338" t="n"/>
      <c r="Q12" s="339" t="n"/>
      <c r="R12" s="339" t="n"/>
      <c r="S12" s="339" t="n"/>
      <c r="T12" s="339" t="n"/>
      <c r="U12" s="339" t="n"/>
      <c r="V12" s="339" t="n"/>
      <c r="W12" s="339" t="n"/>
      <c r="X12" s="339" t="n"/>
      <c r="Y12" s="339" t="n"/>
      <c r="Z12" s="339" t="n"/>
      <c r="AA12" s="339" t="n"/>
      <c r="AB12" s="339" t="n"/>
      <c r="AC12" s="339" t="n"/>
      <c r="AD12" s="339" t="n"/>
    </row>
    <row r="13" customFormat="1" s="197">
      <c r="A13" s="332" t="n"/>
      <c r="B13" s="346" t="inlineStr">
        <is>
          <t>Total Flight Support Group Revenue</t>
        </is>
      </c>
      <c r="C13" s="334" t="n"/>
      <c r="D13" s="334" t="n"/>
      <c r="E13" s="334" t="n"/>
      <c r="F13" s="334" t="n"/>
      <c r="G13" s="363" t="n"/>
      <c r="H13" s="464">
        <f>'Income Statement + Forecast'!C39</f>
        <v/>
      </c>
      <c r="I13" s="464">
        <f>'Income Statement + Forecast'!D39</f>
        <v/>
      </c>
      <c r="J13" s="465">
        <f>'Income Statement + Forecast'!E39</f>
        <v/>
      </c>
      <c r="K13" s="464">
        <f>'Income Statement + Forecast'!F39</f>
        <v/>
      </c>
      <c r="L13" s="466">
        <f>'Income Statement + Forecast'!G39</f>
        <v/>
      </c>
      <c r="M13" s="466">
        <f>'Income Statement + Forecast'!H39</f>
        <v/>
      </c>
      <c r="N13" s="466">
        <f>'Income Statement + Forecast'!I39</f>
        <v/>
      </c>
      <c r="O13" s="466">
        <f>'Income Statement + Forecast'!J39</f>
        <v/>
      </c>
      <c r="P13" s="350" t="n"/>
      <c r="Q13" s="339" t="n"/>
      <c r="R13" s="339" t="n"/>
      <c r="S13" s="339" t="n"/>
      <c r="T13" s="339" t="n"/>
      <c r="U13" s="339" t="n"/>
      <c r="V13" s="339" t="n"/>
      <c r="W13" s="339" t="n"/>
      <c r="X13" s="339" t="n"/>
      <c r="Y13" s="339" t="n"/>
      <c r="Z13" s="339" t="n"/>
      <c r="AA13" s="339" t="n"/>
      <c r="AB13" s="339" t="n"/>
      <c r="AC13" s="339" t="n"/>
      <c r="AD13" s="339" t="n"/>
    </row>
    <row r="14">
      <c r="A14" s="325" t="n"/>
      <c r="B14" s="453" t="inlineStr">
        <is>
          <t>Electronic Technology Group</t>
        </is>
      </c>
      <c r="C14" s="454" t="n">
        <v>140.936</v>
      </c>
      <c r="D14" s="454" t="n">
        <v>173.54</v>
      </c>
      <c r="E14" s="454" t="n">
        <v>236.283</v>
      </c>
      <c r="F14" s="454" t="n">
        <v>291.072</v>
      </c>
      <c r="G14" s="455" t="n">
        <v>337.375</v>
      </c>
      <c r="H14" s="456" t="n"/>
      <c r="I14" s="456" t="n"/>
      <c r="J14" s="457" t="n"/>
      <c r="K14" s="447" t="n"/>
      <c r="L14" s="445" t="n"/>
      <c r="M14" s="445" t="n"/>
      <c r="N14" s="445" t="n"/>
      <c r="O14" s="445" t="n"/>
      <c r="P14" s="447" t="n"/>
      <c r="Q14" s="458" t="n"/>
      <c r="R14" s="458" t="n"/>
      <c r="S14" s="458" t="n"/>
      <c r="T14" s="458" t="n"/>
      <c r="U14" s="458" t="n"/>
      <c r="V14" s="458" t="n"/>
      <c r="W14" s="458" t="n"/>
      <c r="X14" s="458" t="n"/>
      <c r="Y14" s="458" t="n"/>
      <c r="Z14" s="458" t="n"/>
      <c r="AA14" s="458" t="n"/>
      <c r="AB14" s="458" t="n"/>
      <c r="AC14" s="458" t="n"/>
      <c r="AD14" s="458" t="n"/>
    </row>
    <row r="15">
      <c r="A15" s="325" t="n"/>
      <c r="B15" s="459" t="inlineStr">
        <is>
          <t xml:space="preserve">    Defense, Space, Aerospace</t>
        </is>
      </c>
      <c r="C15" s="454" t="n"/>
      <c r="D15" s="454" t="n"/>
      <c r="E15" s="454" t="n"/>
      <c r="F15" s="454" t="n"/>
      <c r="G15" s="455" t="n"/>
      <c r="H15" s="456">
        <f>'Income Statement + Forecast'!C11</f>
        <v/>
      </c>
      <c r="I15" s="456">
        <f>'Income Statement + Forecast'!D11</f>
        <v/>
      </c>
      <c r="J15" s="457">
        <f>'Income Statement + Forecast'!E11</f>
        <v/>
      </c>
      <c r="K15" s="456">
        <f>'Income Statement + Forecast'!F11</f>
        <v/>
      </c>
      <c r="L15" s="460">
        <f>'Income Statement + Forecast'!G11</f>
        <v/>
      </c>
      <c r="M15" s="460">
        <f>'Income Statement + Forecast'!H11</f>
        <v/>
      </c>
      <c r="N15" s="460">
        <f>'Income Statement + Forecast'!I11</f>
        <v/>
      </c>
      <c r="O15" s="460">
        <f>'Income Statement + Forecast'!J11</f>
        <v/>
      </c>
      <c r="P15" s="447" t="n"/>
      <c r="Q15" s="458" t="n"/>
      <c r="R15" s="458" t="n"/>
      <c r="S15" s="458" t="n"/>
      <c r="T15" s="458" t="n"/>
      <c r="U15" s="458" t="n"/>
      <c r="V15" s="458" t="n"/>
      <c r="W15" s="458" t="n"/>
      <c r="X15" s="458" t="n"/>
      <c r="Y15" s="458" t="n"/>
      <c r="Z15" s="458" t="n"/>
      <c r="AA15" s="458" t="n"/>
      <c r="AB15" s="458" t="n"/>
      <c r="AC15" s="458" t="n"/>
      <c r="AD15" s="458" t="n"/>
    </row>
    <row r="16" customFormat="1" s="197">
      <c r="A16" s="332" t="n"/>
      <c r="B16" s="333" t="inlineStr">
        <is>
          <t xml:space="preserve">         % of Growth</t>
        </is>
      </c>
      <c r="C16" s="334" t="n"/>
      <c r="D16" s="334" t="n"/>
      <c r="E16" s="334" t="n"/>
      <c r="F16" s="334" t="n"/>
      <c r="G16" s="363" t="n"/>
      <c r="H16" s="343">
        <f>'Income Statement + Forecast'!C12</f>
        <v/>
      </c>
      <c r="I16" s="343">
        <f>'Income Statement + Forecast'!D12</f>
        <v/>
      </c>
      <c r="J16" s="344">
        <f>'Income Statement + Forecast'!E12</f>
        <v/>
      </c>
      <c r="K16" s="343">
        <f>'Income Statement + Forecast'!F12</f>
        <v/>
      </c>
      <c r="L16" s="345">
        <f>'Income Statement + Forecast'!G12</f>
        <v/>
      </c>
      <c r="M16" s="345">
        <f>'Income Statement + Forecast'!H12</f>
        <v/>
      </c>
      <c r="N16" s="345">
        <f>'Income Statement + Forecast'!I12</f>
        <v/>
      </c>
      <c r="O16" s="345">
        <f>'Income Statement + Forecast'!J12</f>
        <v/>
      </c>
      <c r="P16" s="338" t="n"/>
      <c r="Q16" s="339" t="n"/>
      <c r="R16" s="339" t="n"/>
      <c r="S16" s="339" t="n"/>
      <c r="T16" s="339" t="n"/>
      <c r="U16" s="339" t="n"/>
      <c r="V16" s="339" t="n"/>
      <c r="W16" s="339" t="n"/>
      <c r="X16" s="339" t="n"/>
      <c r="Y16" s="339" t="n"/>
      <c r="Z16" s="339" t="n"/>
      <c r="AA16" s="339" t="n"/>
      <c r="AB16" s="339" t="n"/>
      <c r="AC16" s="339" t="n"/>
      <c r="AD16" s="339" t="n"/>
    </row>
    <row r="17" customFormat="1" s="197">
      <c r="A17" s="332" t="n"/>
      <c r="B17" s="459" t="inlineStr">
        <is>
          <t xml:space="preserve">    Other Industries</t>
        </is>
      </c>
      <c r="C17" s="334" t="n"/>
      <c r="D17" s="334" t="n"/>
      <c r="E17" s="334" t="n"/>
      <c r="F17" s="334" t="n"/>
      <c r="G17" s="363" t="n"/>
      <c r="H17" s="461">
        <f>'Income Statement + Forecast'!C16</f>
        <v/>
      </c>
      <c r="I17" s="461">
        <f>'Income Statement + Forecast'!D16</f>
        <v/>
      </c>
      <c r="J17" s="462">
        <f>'Income Statement + Forecast'!E16</f>
        <v/>
      </c>
      <c r="K17" s="461">
        <f>'Income Statement + Forecast'!F16</f>
        <v/>
      </c>
      <c r="L17" s="463">
        <f>'Income Statement + Forecast'!G16</f>
        <v/>
      </c>
      <c r="M17" s="463">
        <f>'Income Statement + Forecast'!H16</f>
        <v/>
      </c>
      <c r="N17" s="463">
        <f>'Income Statement + Forecast'!I16</f>
        <v/>
      </c>
      <c r="O17" s="463">
        <f>'Income Statement + Forecast'!J16</f>
        <v/>
      </c>
      <c r="P17" s="338" t="n"/>
      <c r="Q17" s="339" t="n"/>
      <c r="R17" s="339" t="n"/>
      <c r="S17" s="339" t="n"/>
      <c r="T17" s="339" t="n"/>
      <c r="U17" s="339" t="n"/>
      <c r="V17" s="339" t="n"/>
      <c r="W17" s="339" t="n"/>
      <c r="X17" s="339" t="n"/>
      <c r="Y17" s="339" t="n"/>
      <c r="Z17" s="339" t="n"/>
      <c r="AA17" s="339" t="n"/>
      <c r="AB17" s="339" t="n"/>
      <c r="AC17" s="339" t="n"/>
      <c r="AD17" s="339" t="n"/>
    </row>
    <row r="18" customFormat="1" s="197">
      <c r="A18" s="332" t="n"/>
      <c r="B18" s="333" t="inlineStr">
        <is>
          <t xml:space="preserve">         % of Growth</t>
        </is>
      </c>
      <c r="C18" s="334" t="n"/>
      <c r="D18" s="334" t="n"/>
      <c r="E18" s="334" t="n"/>
      <c r="F18" s="334" t="n"/>
      <c r="G18" s="363" t="n"/>
      <c r="H18" s="343">
        <f>'Income Statement + Forecast'!C17</f>
        <v/>
      </c>
      <c r="I18" s="343">
        <f>'Income Statement + Forecast'!D17</f>
        <v/>
      </c>
      <c r="J18" s="344">
        <f>'Income Statement + Forecast'!E17</f>
        <v/>
      </c>
      <c r="K18" s="343">
        <f>'Income Statement + Forecast'!F17</f>
        <v/>
      </c>
      <c r="L18" s="345">
        <f>'Income Statement + Forecast'!G17</f>
        <v/>
      </c>
      <c r="M18" s="345">
        <f>'Income Statement + Forecast'!H17</f>
        <v/>
      </c>
      <c r="N18" s="345">
        <f>'Income Statement + Forecast'!I17</f>
        <v/>
      </c>
      <c r="O18" s="345">
        <f>'Income Statement + Forecast'!J17</f>
        <v/>
      </c>
      <c r="P18" s="338" t="n"/>
      <c r="Q18" s="339" t="n"/>
      <c r="R18" s="339" t="n"/>
      <c r="S18" s="339" t="n"/>
      <c r="T18" s="339" t="n"/>
      <c r="U18" s="339" t="n"/>
      <c r="V18" s="339" t="n"/>
      <c r="W18" s="339" t="n"/>
      <c r="X18" s="339" t="n"/>
      <c r="Y18" s="339" t="n"/>
      <c r="Z18" s="339" t="n"/>
      <c r="AA18" s="339" t="n"/>
      <c r="AB18" s="339" t="n"/>
      <c r="AC18" s="339" t="n"/>
      <c r="AD18" s="339" t="n"/>
    </row>
    <row r="19">
      <c r="A19" s="325" t="n"/>
      <c r="B19" s="467" t="inlineStr">
        <is>
          <t>Total Electronic Technology Group Revenue</t>
        </is>
      </c>
      <c r="C19" s="455" t="n"/>
      <c r="D19" s="455" t="n"/>
      <c r="E19" s="455" t="n"/>
      <c r="F19" s="455" t="n"/>
      <c r="G19" s="455" t="n"/>
      <c r="H19" s="468">
        <f>SUM(H15+H17)</f>
        <v/>
      </c>
      <c r="I19" s="468">
        <f>SUM(I15+I17)</f>
        <v/>
      </c>
      <c r="J19" s="469">
        <f>SUM(J15+J17)</f>
        <v/>
      </c>
      <c r="K19" s="470">
        <f>SUM(K15+K17)</f>
        <v/>
      </c>
      <c r="L19" s="468">
        <f>SUM(L15+L17)</f>
        <v/>
      </c>
      <c r="M19" s="468">
        <f>SUM(M15+M17)</f>
        <v/>
      </c>
      <c r="N19" s="468">
        <f>SUM(N15+N17)</f>
        <v/>
      </c>
      <c r="O19" s="468">
        <f>SUM(O15+O17)</f>
        <v/>
      </c>
      <c r="P19" s="447" t="n"/>
      <c r="Q19" s="458" t="n"/>
      <c r="R19" s="458" t="n"/>
      <c r="S19" s="458" t="n"/>
      <c r="T19" s="458" t="n"/>
      <c r="U19" s="458" t="n"/>
      <c r="V19" s="458" t="n"/>
      <c r="W19" s="458" t="n"/>
      <c r="X19" s="458" t="n"/>
      <c r="Y19" s="458" t="n"/>
      <c r="Z19" s="458" t="n"/>
      <c r="AA19" s="458" t="n"/>
      <c r="AB19" s="458" t="n"/>
      <c r="AC19" s="458" t="n"/>
      <c r="AD19" s="458" t="n"/>
    </row>
    <row r="20">
      <c r="A20" s="325" t="inlineStr">
        <is>
          <t>x</t>
        </is>
      </c>
      <c r="B20" s="471" t="inlineStr">
        <is>
          <t>Total Revenue</t>
        </is>
      </c>
      <c r="C20" s="472">
        <f>SUM(C6:C19)</f>
        <v/>
      </c>
      <c r="D20" s="472">
        <f>SUM(D6:D19)</f>
        <v/>
      </c>
      <c r="E20" s="472">
        <f>SUM(E6:E19)</f>
        <v/>
      </c>
      <c r="F20" s="472">
        <f>SUM(F6:F19)</f>
        <v/>
      </c>
      <c r="G20" s="472">
        <f>SUM(G6:G19)</f>
        <v/>
      </c>
      <c r="H20" s="473">
        <f>H13+H19</f>
        <v/>
      </c>
      <c r="I20" s="473">
        <f>I13+I19</f>
        <v/>
      </c>
      <c r="J20" s="474">
        <f>J13+J19</f>
        <v/>
      </c>
      <c r="K20" s="473">
        <f>K13+K19</f>
        <v/>
      </c>
      <c r="L20" s="473">
        <f>L13+L19</f>
        <v/>
      </c>
      <c r="M20" s="473">
        <f>M13+M19</f>
        <v/>
      </c>
      <c r="N20" s="473">
        <f>N13+N19</f>
        <v/>
      </c>
      <c r="O20" s="473">
        <f>O13+O19</f>
        <v/>
      </c>
      <c r="P20" s="475" t="n"/>
      <c r="Q20" s="476" t="n"/>
      <c r="R20" s="476" t="n"/>
      <c r="S20" s="476" t="n"/>
      <c r="T20" s="476" t="n"/>
      <c r="U20" s="476" t="n"/>
      <c r="V20" s="476" t="n"/>
      <c r="W20" s="476" t="n"/>
      <c r="X20" s="476" t="n"/>
      <c r="Y20" s="476" t="n"/>
      <c r="Z20" s="476" t="n"/>
      <c r="AA20" s="476" t="n"/>
      <c r="AB20" s="476" t="n"/>
      <c r="AC20" s="476" t="n"/>
      <c r="AD20" s="476" t="n"/>
    </row>
    <row r="21">
      <c r="A21" s="325" t="n"/>
      <c r="B21" s="459" t="inlineStr">
        <is>
          <t>Product Cost of Good Sold</t>
        </is>
      </c>
      <c r="C21" s="477" t="n"/>
      <c r="D21" s="477" t="n"/>
      <c r="E21" s="477" t="n"/>
      <c r="F21" s="477" t="n"/>
      <c r="G21" s="478" t="n"/>
      <c r="H21" s="479">
        <f>'Income Statement + Forecast'!C42</f>
        <v/>
      </c>
      <c r="I21" s="479">
        <f>'Income Statement + Forecast'!D42</f>
        <v/>
      </c>
      <c r="J21" s="480">
        <f>'Income Statement + Forecast'!E42</f>
        <v/>
      </c>
      <c r="K21" s="481">
        <f>'Costs &amp; Expenses Build'!F23</f>
        <v/>
      </c>
      <c r="L21" s="481">
        <f>'Costs &amp; Expenses Build'!G23</f>
        <v/>
      </c>
      <c r="M21" s="481">
        <f>'Costs &amp; Expenses Build'!H23</f>
        <v/>
      </c>
      <c r="N21" s="481">
        <f>'Costs &amp; Expenses Build'!I23</f>
        <v/>
      </c>
      <c r="O21" s="481">
        <f>'Costs &amp; Expenses Build'!J23</f>
        <v/>
      </c>
      <c r="P21" s="447" t="n"/>
      <c r="Q21" s="458" t="n"/>
      <c r="R21" s="458" t="n"/>
      <c r="S21" s="458" t="n"/>
      <c r="T21" s="458" t="n"/>
      <c r="U21" s="458" t="n"/>
      <c r="V21" s="458" t="n"/>
      <c r="W21" s="458" t="n"/>
      <c r="X21" s="458" t="n"/>
      <c r="Y21" s="458" t="n"/>
      <c r="Z21" s="458" t="n"/>
      <c r="AA21" s="458" t="n"/>
      <c r="AB21" s="458" t="n"/>
      <c r="AC21" s="458" t="n"/>
      <c r="AD21" s="458" t="n"/>
    </row>
    <row r="22" customFormat="1" s="197">
      <c r="A22" s="362" t="n"/>
      <c r="B22" s="333" t="inlineStr">
        <is>
          <t xml:space="preserve">         % of Growth</t>
        </is>
      </c>
      <c r="C22" s="334" t="n"/>
      <c r="D22" s="363" t="n"/>
      <c r="E22" s="363" t="n"/>
      <c r="F22" s="363" t="n"/>
      <c r="G22" s="363" t="n"/>
      <c r="H22" s="345">
        <f>H21/H20</f>
        <v/>
      </c>
      <c r="I22" s="345">
        <f>I21/I20</f>
        <v/>
      </c>
      <c r="J22" s="344">
        <f>J21/J20</f>
        <v/>
      </c>
      <c r="K22" s="343">
        <f>'Costs &amp; Expenses Build'!F26</f>
        <v/>
      </c>
      <c r="L22" s="343">
        <f>'Costs &amp; Expenses Build'!G26</f>
        <v/>
      </c>
      <c r="M22" s="343">
        <f>'Costs &amp; Expenses Build'!H26</f>
        <v/>
      </c>
      <c r="N22" s="343">
        <f>'Costs &amp; Expenses Build'!I26</f>
        <v/>
      </c>
      <c r="O22" s="343">
        <f>'Costs &amp; Expenses Build'!J26</f>
        <v/>
      </c>
      <c r="P22" s="338" t="n"/>
      <c r="Q22" s="339" t="n"/>
      <c r="R22" s="339" t="inlineStr">
        <is>
          <t> </t>
        </is>
      </c>
      <c r="S22" s="339" t="n"/>
      <c r="T22" s="339" t="n"/>
      <c r="U22" s="339" t="n"/>
      <c r="V22" s="339" t="n"/>
      <c r="W22" s="339" t="n"/>
      <c r="X22" s="339" t="n"/>
      <c r="Y22" s="339" t="n"/>
      <c r="Z22" s="339" t="n"/>
      <c r="AA22" s="339" t="n"/>
      <c r="AB22" s="339" t="n"/>
      <c r="AC22" s="339" t="n"/>
      <c r="AD22" s="339" t="n"/>
    </row>
    <row r="23" ht="15.75" customHeight="1">
      <c r="A23" s="325" t="inlineStr">
        <is>
          <t>x</t>
        </is>
      </c>
      <c r="B23" s="453" t="inlineStr">
        <is>
          <t>Total Cost of Revenue</t>
        </is>
      </c>
      <c r="C23" s="472">
        <f>SUM(#REF!)</f>
        <v/>
      </c>
      <c r="D23" s="472">
        <f>SUM(#REF!)</f>
        <v/>
      </c>
      <c r="E23" s="472">
        <f>SUM(#REF!)</f>
        <v/>
      </c>
      <c r="F23" s="472">
        <f>SUM(#REF!)</f>
        <v/>
      </c>
      <c r="G23" s="472">
        <f>SUM(#REF!)</f>
        <v/>
      </c>
      <c r="H23" s="482" t="n">
        <v>1345.6</v>
      </c>
      <c r="I23" s="482" t="n">
        <v>1814.6</v>
      </c>
      <c r="J23" s="483" t="n">
        <v>2355.9</v>
      </c>
      <c r="K23" s="484" t="n">
        <v>2742.06</v>
      </c>
      <c r="L23" s="484" t="n">
        <v>3281.83</v>
      </c>
      <c r="M23" s="484" t="n">
        <v>3890.32</v>
      </c>
      <c r="N23" s="484" t="n">
        <v>4658.81</v>
      </c>
      <c r="O23" s="484" t="n">
        <v>5643.77</v>
      </c>
      <c r="P23" s="476" t="n"/>
      <c r="Q23" s="476" t="n"/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</row>
    <row r="24" ht="15.75" customHeight="1">
      <c r="A24" s="325" t="n"/>
      <c r="B24" s="459" t="inlineStr">
        <is>
          <t>R&amp;D Expenses</t>
        </is>
      </c>
      <c r="C24" s="454" t="n">
        <v>32.24</v>
      </c>
      <c r="D24" s="454" t="n">
        <v>38.98</v>
      </c>
      <c r="E24" s="454" t="n">
        <v>43.49</v>
      </c>
      <c r="F24" s="454" t="n">
        <v>55.902</v>
      </c>
      <c r="G24" s="455" t="n">
        <v>61.815</v>
      </c>
      <c r="H24" s="460" t="n">
        <v>76.06100000000001</v>
      </c>
      <c r="I24" s="460" t="n">
        <v>95.773</v>
      </c>
      <c r="J24" s="457" t="n">
        <v>111.265</v>
      </c>
      <c r="K24" s="458">
        <f>K25*K20</f>
        <v/>
      </c>
      <c r="L24" s="458">
        <f>L25*L20</f>
        <v/>
      </c>
      <c r="M24" s="458">
        <f>M25*M20</f>
        <v/>
      </c>
      <c r="N24" s="458">
        <f>N25*N20</f>
        <v/>
      </c>
      <c r="O24" s="458">
        <f>O25*O20</f>
        <v/>
      </c>
      <c r="P24" s="458" t="n"/>
      <c r="Q24" s="458" t="n"/>
      <c r="R24" s="458" t="n"/>
      <c r="S24" s="458" t="n"/>
      <c r="T24" s="458" t="n"/>
      <c r="U24" s="458" t="n"/>
      <c r="V24" s="458" t="n"/>
      <c r="W24" s="458" t="n"/>
      <c r="X24" s="458" t="n"/>
      <c r="Y24" s="458" t="n"/>
      <c r="Z24" s="458" t="n"/>
      <c r="AA24" s="458" t="n"/>
      <c r="AB24" s="458" t="n"/>
      <c r="AC24" s="458" t="n"/>
      <c r="AD24" s="458" t="n"/>
    </row>
    <row r="25" customFormat="1" s="197">
      <c r="A25" s="332" t="n"/>
      <c r="B25" s="333" t="inlineStr">
        <is>
          <t xml:space="preserve">         % of Expenses</t>
        </is>
      </c>
      <c r="C25" s="334" t="n"/>
      <c r="D25" s="334" t="n"/>
      <c r="E25" s="334" t="n"/>
      <c r="F25" s="334" t="n"/>
      <c r="G25" s="363" t="n"/>
      <c r="H25" s="287" t="n">
        <v>0.03</v>
      </c>
      <c r="I25" s="287" t="n">
        <v>0.03</v>
      </c>
      <c r="J25" s="364" t="n">
        <v>0.03</v>
      </c>
      <c r="K25" s="485" t="n">
        <v>0.032</v>
      </c>
      <c r="L25" s="485" t="n">
        <v>0.031</v>
      </c>
      <c r="M25" s="485" t="n">
        <v>0.03</v>
      </c>
      <c r="N25" s="486" t="n">
        <v>0.031</v>
      </c>
      <c r="O25" s="485" t="n">
        <v>0.031</v>
      </c>
      <c r="P25" s="338" t="n"/>
      <c r="Q25" s="339" t="n"/>
      <c r="R25" s="339" t="n"/>
      <c r="S25" s="339" t="n"/>
      <c r="T25" s="339" t="n"/>
      <c r="U25" s="339" t="n"/>
      <c r="V25" s="339" t="n"/>
      <c r="W25" s="339" t="n"/>
      <c r="X25" s="339" t="n"/>
      <c r="Y25" s="339" t="n"/>
      <c r="Z25" s="339" t="n"/>
      <c r="AA25" s="339" t="n"/>
      <c r="AB25" s="339" t="n"/>
      <c r="AC25" s="339" t="n"/>
      <c r="AD25" s="339" t="n"/>
    </row>
    <row r="26" ht="15.75" customHeight="1">
      <c r="A26" s="325" t="n"/>
      <c r="B26" s="459" t="inlineStr">
        <is>
          <t>Stock-based Compensation</t>
        </is>
      </c>
      <c r="C26" s="454" t="n">
        <v>40.002</v>
      </c>
      <c r="D26" s="454" t="n">
        <v>44.272</v>
      </c>
      <c r="E26" s="454" t="n">
        <v>72.755</v>
      </c>
      <c r="F26" s="454" t="n">
        <v>89.20399999999999</v>
      </c>
      <c r="G26" s="455" t="n">
        <v>114.443</v>
      </c>
      <c r="H26" s="456">
        <f>'Costs &amp; Expenses Build'!C37</f>
        <v/>
      </c>
      <c r="I26" s="456">
        <f>'Costs &amp; Expenses Build'!D37</f>
        <v/>
      </c>
      <c r="J26" s="457">
        <f>'Costs &amp; Expenses Build'!E37</f>
        <v/>
      </c>
      <c r="K26" s="456">
        <f>'Costs &amp; Expenses Build'!F37</f>
        <v/>
      </c>
      <c r="L26" s="460">
        <f>'Costs &amp; Expenses Build'!G37</f>
        <v/>
      </c>
      <c r="M26" s="460">
        <f>'Costs &amp; Expenses Build'!H37</f>
        <v/>
      </c>
      <c r="N26" s="460">
        <f>'Costs &amp; Expenses Build'!I37</f>
        <v/>
      </c>
      <c r="O26" s="460">
        <f>'Costs &amp; Expenses Build'!J37</f>
        <v/>
      </c>
      <c r="P26" s="458" t="n"/>
      <c r="Q26" s="458" t="n"/>
      <c r="R26" s="458" t="n"/>
      <c r="S26" s="458" t="n"/>
      <c r="T26" s="458" t="n"/>
      <c r="U26" s="458" t="n"/>
      <c r="V26" s="458" t="n"/>
      <c r="W26" s="458" t="n"/>
      <c r="X26" s="458" t="n"/>
      <c r="Y26" s="458" t="n"/>
      <c r="Z26" s="458" t="n"/>
      <c r="AA26" s="458" t="n"/>
      <c r="AB26" s="458" t="n"/>
      <c r="AC26" s="458" t="n"/>
      <c r="AD26" s="458" t="n"/>
    </row>
    <row r="27" customFormat="1" s="197">
      <c r="A27" s="332" t="n"/>
      <c r="B27" s="333" t="inlineStr">
        <is>
          <t xml:space="preserve">         % of Expenses</t>
        </is>
      </c>
      <c r="C27" s="334" t="n"/>
      <c r="D27" s="334" t="n"/>
      <c r="E27" s="334" t="n"/>
      <c r="F27" s="334" t="n"/>
      <c r="G27" s="363" t="n"/>
      <c r="H27" s="343">
        <f>'Costs &amp; Expenses Build'!C38</f>
        <v/>
      </c>
      <c r="I27" s="343">
        <f>'Costs &amp; Expenses Build'!D38</f>
        <v/>
      </c>
      <c r="J27" s="344">
        <f>'Costs &amp; Expenses Build'!E38</f>
        <v/>
      </c>
      <c r="K27" s="343">
        <f>'Costs &amp; Expenses Build'!F38</f>
        <v/>
      </c>
      <c r="L27" s="345">
        <f>'Costs &amp; Expenses Build'!G38</f>
        <v/>
      </c>
      <c r="M27" s="345">
        <f>'Costs &amp; Expenses Build'!H38</f>
        <v/>
      </c>
      <c r="N27" s="345">
        <f>'Costs &amp; Expenses Build'!I38</f>
        <v/>
      </c>
      <c r="O27" s="345">
        <f>'Costs &amp; Expenses Build'!J38</f>
        <v/>
      </c>
      <c r="P27" s="338" t="n"/>
      <c r="Q27" s="339" t="n"/>
      <c r="R27" s="339" t="n"/>
      <c r="S27" s="339" t="n"/>
      <c r="T27" s="339" t="n"/>
      <c r="U27" s="339" t="n"/>
      <c r="V27" s="339" t="n"/>
      <c r="W27" s="339" t="n"/>
      <c r="X27" s="339" t="n"/>
      <c r="Y27" s="339" t="n"/>
      <c r="Z27" s="339" t="n"/>
      <c r="AA27" s="339" t="n"/>
      <c r="AB27" s="339" t="n"/>
      <c r="AC27" s="339" t="n"/>
      <c r="AD27" s="339" t="n"/>
    </row>
    <row r="28" ht="15.75" customHeight="1">
      <c r="A28" s="325" t="n"/>
      <c r="B28" s="459" t="inlineStr">
        <is>
          <t>SG&amp;A Expenses</t>
        </is>
      </c>
      <c r="C28" s="454" t="n">
        <v>5.808</v>
      </c>
      <c r="D28" s="454" t="n">
        <v>6.49</v>
      </c>
      <c r="E28" s="454" t="n">
        <v>17.734</v>
      </c>
      <c r="F28" s="454" t="n">
        <v>21.721</v>
      </c>
      <c r="G28" s="455" t="n">
        <v>22.134</v>
      </c>
      <c r="H28" s="456">
        <f>'Costs &amp; Expenses Build'!C43</f>
        <v/>
      </c>
      <c r="I28" s="456">
        <f>'Costs &amp; Expenses Build'!D43</f>
        <v/>
      </c>
      <c r="J28" s="457">
        <f>'Costs &amp; Expenses Build'!E43</f>
        <v/>
      </c>
      <c r="K28" s="456">
        <f>'Costs &amp; Expenses Build'!F43</f>
        <v/>
      </c>
      <c r="L28" s="460">
        <f>'Costs &amp; Expenses Build'!G43</f>
        <v/>
      </c>
      <c r="M28" s="460">
        <f>'Costs &amp; Expenses Build'!H43</f>
        <v/>
      </c>
      <c r="N28" s="460">
        <f>'Costs &amp; Expenses Build'!I43</f>
        <v/>
      </c>
      <c r="O28" s="460">
        <f>'Costs &amp; Expenses Build'!J43</f>
        <v/>
      </c>
      <c r="P28" s="458" t="n"/>
      <c r="Q28" s="458" t="n"/>
      <c r="R28" s="458" t="n"/>
      <c r="S28" s="458" t="n"/>
      <c r="T28" s="458" t="n"/>
      <c r="U28" s="458" t="n"/>
      <c r="V28" s="458" t="n"/>
      <c r="W28" s="458" t="n"/>
      <c r="X28" s="458" t="n"/>
      <c r="Y28" s="458" t="n"/>
      <c r="Z28" s="458" t="n"/>
      <c r="AA28" s="458" t="n"/>
      <c r="AB28" s="458" t="n"/>
      <c r="AC28" s="458" t="n"/>
      <c r="AD28" s="458" t="n"/>
    </row>
    <row r="29" customFormat="1" s="197">
      <c r="A29" s="332" t="n"/>
      <c r="B29" s="333" t="inlineStr">
        <is>
          <t xml:space="preserve">         % of Expenses</t>
        </is>
      </c>
      <c r="C29" s="334" t="n"/>
      <c r="D29" s="334" t="n"/>
      <c r="E29" s="334" t="n"/>
      <c r="F29" s="334" t="n"/>
      <c r="G29" s="363" t="n"/>
      <c r="H29" s="343">
        <f>'Costs &amp; Expenses Build'!C44</f>
        <v/>
      </c>
      <c r="I29" s="343">
        <f>'Costs &amp; Expenses Build'!D44</f>
        <v/>
      </c>
      <c r="J29" s="344">
        <f>'Costs &amp; Expenses Build'!E44</f>
        <v/>
      </c>
      <c r="K29" s="343">
        <f>'Costs &amp; Expenses Build'!F44</f>
        <v/>
      </c>
      <c r="L29" s="345">
        <f>'Costs &amp; Expenses Build'!G44</f>
        <v/>
      </c>
      <c r="M29" s="345">
        <f>'Costs &amp; Expenses Build'!H44</f>
        <v/>
      </c>
      <c r="N29" s="345">
        <f>'Costs &amp; Expenses Build'!I44</f>
        <v/>
      </c>
      <c r="O29" s="345">
        <f>'Costs &amp; Expenses Build'!J44</f>
        <v/>
      </c>
      <c r="P29" s="338" t="n"/>
      <c r="Q29" s="339" t="n"/>
      <c r="R29" s="339" t="n"/>
      <c r="S29" s="339" t="n"/>
      <c r="T29" s="339" t="n"/>
      <c r="U29" s="339" t="n"/>
      <c r="V29" s="339" t="n"/>
      <c r="W29" s="339" t="n"/>
      <c r="X29" s="339" t="n"/>
      <c r="Y29" s="339" t="n"/>
      <c r="Z29" s="339" t="n"/>
      <c r="AA29" s="339" t="n"/>
      <c r="AB29" s="339" t="n"/>
      <c r="AC29" s="339" t="n"/>
      <c r="AD29" s="339" t="n"/>
    </row>
    <row r="30">
      <c r="A30" s="325" t="inlineStr">
        <is>
          <t>x</t>
        </is>
      </c>
      <c r="B30" s="471" t="inlineStr">
        <is>
          <t>Total Operating Expenses</t>
        </is>
      </c>
      <c r="C30" s="487">
        <f>SUM(#REF!)</f>
        <v/>
      </c>
      <c r="D30" s="487">
        <f>SUM(#REF!)</f>
        <v/>
      </c>
      <c r="E30" s="487">
        <f>SUM(#REF!)</f>
        <v/>
      </c>
      <c r="F30" s="487">
        <f>SUM(#REF!)</f>
        <v/>
      </c>
      <c r="G30" s="487">
        <f>SUM(#REF!)</f>
        <v/>
      </c>
      <c r="H30" s="487">
        <f>SUM(H24,H26,H28)</f>
        <v/>
      </c>
      <c r="I30" s="487">
        <f>SUM(I24,I26,I28)</f>
        <v/>
      </c>
      <c r="J30" s="488">
        <f>SUM(J24,J26,J28)</f>
        <v/>
      </c>
      <c r="K30" s="487">
        <f>SUM(K24,K26,K28)</f>
        <v/>
      </c>
      <c r="L30" s="487">
        <f>SUM(L24,L26,L28)</f>
        <v/>
      </c>
      <c r="M30" s="487">
        <f>SUM(M24,M26,M28)</f>
        <v/>
      </c>
      <c r="N30" s="487">
        <f>SUM(N24,N26,N28)</f>
        <v/>
      </c>
      <c r="O30" s="487">
        <f>SUM(O24,O26,O28)</f>
        <v/>
      </c>
      <c r="P30" s="479" t="n"/>
      <c r="Q30" s="479" t="n"/>
      <c r="R30" s="479" t="n"/>
      <c r="S30" s="479" t="n"/>
      <c r="T30" s="479" t="n"/>
      <c r="U30" s="479" t="n"/>
      <c r="V30" s="479" t="n"/>
      <c r="W30" s="479" t="n"/>
      <c r="X30" s="479" t="n"/>
      <c r="Y30" s="479" t="n"/>
      <c r="Z30" s="479" t="n"/>
      <c r="AA30" s="479" t="n"/>
      <c r="AB30" s="479" t="n"/>
      <c r="AC30" s="479" t="n"/>
      <c r="AD30" s="479" t="n"/>
    </row>
    <row r="31" ht="15.75" customHeight="1">
      <c r="A31" s="325" t="inlineStr">
        <is>
          <t>x</t>
        </is>
      </c>
      <c r="B31" s="453" t="inlineStr">
        <is>
          <t>Operating income</t>
        </is>
      </c>
      <c r="C31" s="489">
        <f>C20-C23-#REF!</f>
        <v/>
      </c>
      <c r="D31" s="489">
        <f>D20-D23-#REF!</f>
        <v/>
      </c>
      <c r="E31" s="489">
        <f>E20-E23-#REF!</f>
        <v/>
      </c>
      <c r="F31" s="489">
        <f>F20-F23-#REF!</f>
        <v/>
      </c>
      <c r="G31" s="490">
        <f>G20-G23-#REF!</f>
        <v/>
      </c>
      <c r="H31" s="489">
        <f>(H20-H23)-H30</f>
        <v/>
      </c>
      <c r="I31" s="489">
        <f>(I20-I23)-I30</f>
        <v/>
      </c>
      <c r="J31" s="491">
        <f>(J20-J23)-J30</f>
        <v/>
      </c>
      <c r="K31" s="489">
        <f>(K20-K23)-K30</f>
        <v/>
      </c>
      <c r="L31" s="490">
        <f>(L20-L23)-L30</f>
        <v/>
      </c>
      <c r="M31" s="490">
        <f>(M20-M23)-M30</f>
        <v/>
      </c>
      <c r="N31" s="490">
        <f>(N20-N23)-N30</f>
        <v/>
      </c>
      <c r="O31" s="490">
        <f>(O20-O23)-O30</f>
        <v/>
      </c>
      <c r="P31" s="492" t="n"/>
      <c r="Q31" s="492" t="n"/>
      <c r="R31" s="492" t="n"/>
      <c r="S31" s="492" t="n"/>
      <c r="T31" s="492" t="n"/>
      <c r="U31" s="492" t="n"/>
      <c r="V31" s="492" t="n"/>
      <c r="W31" s="492" t="n"/>
      <c r="X31" s="492" t="n"/>
      <c r="Y31" s="492" t="n"/>
      <c r="Z31" s="492" t="n"/>
      <c r="AA31" s="492" t="n"/>
      <c r="AB31" s="492" t="n"/>
      <c r="AC31" s="492" t="n"/>
      <c r="AD31" s="492" t="n"/>
    </row>
    <row r="32"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</row>
    <row r="33"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</row>
    <row r="34"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</row>
    <row r="35"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  <c r="AA35" s="76" t="n"/>
      <c r="AB35" s="76" t="n"/>
      <c r="AC35" s="76" t="n"/>
      <c r="AD35" s="7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2"/>
  <sheetViews>
    <sheetView showGridLines="0" zoomScale="84" zoomScaleNormal="100" workbookViewId="0">
      <selection activeCell="A1" sqref="A1"/>
    </sheetView>
  </sheetViews>
  <sheetFormatPr baseColWidth="10" defaultColWidth="14.5" defaultRowHeight="15" customHeight="1"/>
  <cols>
    <col width="3.5" customWidth="1" style="70" min="1" max="1"/>
    <col width="52.6640625" bestFit="1" customWidth="1" style="70" min="2" max="2"/>
    <col width="11.6640625" customWidth="1" style="70" min="3" max="3"/>
    <col width="12.5" bestFit="1" customWidth="1" style="70" min="4" max="4"/>
    <col width="12.5" bestFit="1" customWidth="1" style="76" min="5" max="5"/>
    <col width="13.83203125" bestFit="1" customWidth="1" style="76" min="6" max="6"/>
    <col width="13.83203125" bestFit="1" customWidth="1" style="70" min="7" max="10"/>
    <col width="11.1640625" customWidth="1" style="70" min="11" max="12"/>
    <col width="14.5" customWidth="1" style="70" min="13" max="16384"/>
  </cols>
  <sheetData>
    <row r="1" ht="14.25" customHeight="1">
      <c r="A1" s="92" t="n"/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4" t="n"/>
      <c r="L1" s="94" t="n"/>
    </row>
    <row r="2" ht="14.25" customHeight="1">
      <c r="A2" s="95" t="inlineStr">
        <is>
          <t>x</t>
        </is>
      </c>
      <c r="B2" s="96" t="inlineStr">
        <is>
          <t>Costs &amp; Expenses Build</t>
        </is>
      </c>
      <c r="C2" s="97" t="n"/>
      <c r="D2" s="97" t="n"/>
      <c r="E2" s="97" t="n"/>
      <c r="F2" s="97" t="n"/>
      <c r="G2" s="97" t="n"/>
      <c r="H2" s="97" t="n"/>
      <c r="I2" s="97" t="n"/>
      <c r="J2" s="97" t="n"/>
      <c r="K2" s="94" t="n"/>
      <c r="L2" s="94" t="n"/>
    </row>
    <row r="3" ht="14" customHeight="1">
      <c r="A3" s="92" t="n"/>
      <c r="B3" s="83" t="inlineStr">
        <is>
          <t>in $millions, unless otherwise specified</t>
        </is>
      </c>
      <c r="K3" s="94" t="n"/>
      <c r="L3" s="94" t="n"/>
    </row>
    <row r="4" ht="14" customHeight="1">
      <c r="A4" s="92" t="n"/>
      <c r="B4" s="83" t="n"/>
      <c r="K4" s="94" t="n"/>
      <c r="L4" s="94" t="n"/>
    </row>
    <row r="5" ht="14" customHeight="1">
      <c r="A5" s="92" t="n"/>
      <c r="B5" s="75" t="inlineStr">
        <is>
          <t>Case Selector</t>
        </is>
      </c>
      <c r="C5" s="98" t="n">
        <v>2</v>
      </c>
      <c r="K5" s="94" t="n"/>
      <c r="L5" s="94" t="n"/>
    </row>
    <row r="6" ht="14.25" customHeight="1">
      <c r="A6" s="92" t="n"/>
      <c r="B6" s="83" t="n"/>
      <c r="K6" s="94" t="n"/>
      <c r="L6" s="94" t="n"/>
    </row>
    <row r="7" ht="14.25" customHeight="1">
      <c r="A7" s="92" t="n"/>
      <c r="B7" s="83" t="inlineStr">
        <is>
          <t xml:space="preserve">Fiscal year ending December 31, </t>
        </is>
      </c>
      <c r="C7" s="449" t="n">
        <v>2022</v>
      </c>
      <c r="D7" s="449">
        <f>C7+1</f>
        <v/>
      </c>
      <c r="E7" s="493">
        <f>D7+1</f>
        <v/>
      </c>
      <c r="F7" s="451">
        <f>E7+1</f>
        <v/>
      </c>
      <c r="G7" s="451">
        <f>F7+1</f>
        <v/>
      </c>
      <c r="H7" s="451">
        <f>G7+1</f>
        <v/>
      </c>
      <c r="I7" s="451">
        <f>H7+1</f>
        <v/>
      </c>
      <c r="J7" s="451">
        <f>I7+1</f>
        <v/>
      </c>
      <c r="K7" s="94" t="n"/>
      <c r="L7" s="94" t="n"/>
    </row>
    <row r="8" ht="14.25" customHeight="1">
      <c r="A8" s="92" t="n"/>
      <c r="B8" s="101" t="n"/>
      <c r="C8" s="101" t="n"/>
      <c r="D8" s="102" t="n"/>
      <c r="E8" s="296" t="n"/>
      <c r="F8" s="102" t="n"/>
      <c r="G8" s="102" t="n"/>
      <c r="H8" s="102" t="n"/>
      <c r="I8" s="102" t="n"/>
      <c r="J8" s="102" t="n"/>
      <c r="K8" s="94" t="n"/>
      <c r="L8" s="94" t="n"/>
    </row>
    <row r="9" hidden="1" ht="14.25" customHeight="1">
      <c r="A9" s="92" t="n"/>
      <c r="B9" s="103" t="inlineStr">
        <is>
          <t>KPIs for Hardware</t>
        </is>
      </c>
      <c r="C9" s="104" t="inlineStr">
        <is>
          <t>=</t>
        </is>
      </c>
      <c r="D9" s="104" t="n"/>
      <c r="E9" s="297" t="n"/>
      <c r="F9" s="104" t="n"/>
      <c r="G9" s="104" t="n"/>
      <c r="H9" s="104" t="n"/>
      <c r="I9" s="104" t="n"/>
      <c r="J9" s="104" t="n"/>
      <c r="K9" s="94" t="n"/>
      <c r="L9" s="94" t="n"/>
    </row>
    <row r="10" hidden="1" ht="14.25" customHeight="1">
      <c r="A10" s="92" t="n"/>
      <c r="B10" s="103" t="inlineStr">
        <is>
          <t>Revenue Build</t>
        </is>
      </c>
      <c r="C10" s="104" t="n"/>
      <c r="D10" s="104" t="n"/>
      <c r="E10" s="297" t="n"/>
      <c r="F10" s="104" t="n"/>
      <c r="G10" s="104" t="n"/>
      <c r="H10" s="104" t="n"/>
      <c r="I10" s="104" t="n"/>
      <c r="J10" s="104" t="n"/>
      <c r="K10" s="94" t="n"/>
      <c r="L10" s="94" t="n"/>
    </row>
    <row r="11" hidden="1" ht="14" customHeight="1">
      <c r="A11" s="105" t="n"/>
      <c r="B11" s="459" t="inlineStr">
        <is>
          <t>Total Assem Management Solutions Revenue</t>
        </is>
      </c>
      <c r="C11" s="494">
        <f>'Income Statement + Forecast'!C21</f>
        <v/>
      </c>
      <c r="D11" s="494">
        <f>'Income Statement + Forecast'!D21</f>
        <v/>
      </c>
      <c r="E11" s="495">
        <f>'Income Statement + Forecast'!E21</f>
        <v/>
      </c>
      <c r="F11" s="494">
        <f>'Income Statement + Forecast'!F21</f>
        <v/>
      </c>
      <c r="G11" s="496">
        <f>'Income Statement + Forecast'!G21</f>
        <v/>
      </c>
      <c r="H11" s="496">
        <f>'Income Statement + Forecast'!H21</f>
        <v/>
      </c>
      <c r="I11" s="496">
        <f>'Income Statement + Forecast'!I21</f>
        <v/>
      </c>
      <c r="J11" s="496">
        <f>'Income Statement + Forecast'!J21</f>
        <v/>
      </c>
    </row>
    <row r="12" hidden="1" ht="14.25" customHeight="1">
      <c r="A12" s="110" t="n"/>
      <c r="B12" s="111" t="inlineStr">
        <is>
          <t>% Growth</t>
        </is>
      </c>
      <c r="C12" s="113" t="n"/>
      <c r="D12" s="113">
        <f>D11/C11-1</f>
        <v/>
      </c>
      <c r="E12" s="299">
        <f>E11/D11-1</f>
        <v/>
      </c>
      <c r="F12" s="497">
        <f>F11/E11-1</f>
        <v/>
      </c>
      <c r="G12" s="498">
        <f>G11/F11-1</f>
        <v/>
      </c>
      <c r="H12" s="498">
        <f>H11/G11-1</f>
        <v/>
      </c>
      <c r="I12" s="498">
        <f>I11/H11-1</f>
        <v/>
      </c>
      <c r="J12" s="498">
        <f>J11/I11-1</f>
        <v/>
      </c>
      <c r="K12" s="94" t="n"/>
      <c r="L12" s="94" t="n"/>
    </row>
    <row r="13" hidden="1" ht="14" customHeight="1">
      <c r="A13" s="105" t="n"/>
      <c r="B13" s="459" t="inlineStr">
        <is>
          <t>Total TechOps Revenue</t>
        </is>
      </c>
      <c r="C13" s="494">
        <f>'Income Statement + Forecast'!C39</f>
        <v/>
      </c>
      <c r="D13" s="494">
        <f>'Income Statement + Forecast'!D39</f>
        <v/>
      </c>
      <c r="E13" s="495">
        <f>'Income Statement + Forecast'!E39</f>
        <v/>
      </c>
      <c r="F13" s="494">
        <f>'Income Statement + Forecast'!F39</f>
        <v/>
      </c>
      <c r="G13" s="496">
        <f>'Income Statement + Forecast'!G39</f>
        <v/>
      </c>
      <c r="H13" s="496">
        <f>'Income Statement + Forecast'!H39</f>
        <v/>
      </c>
      <c r="I13" s="496">
        <f>'Income Statement + Forecast'!I39</f>
        <v/>
      </c>
      <c r="J13" s="496">
        <f>'Income Statement + Forecast'!J39</f>
        <v/>
      </c>
    </row>
    <row r="14" hidden="1" ht="14.25" customHeight="1">
      <c r="A14" s="110" t="n"/>
      <c r="B14" s="111" t="inlineStr">
        <is>
          <t>% Growth</t>
        </is>
      </c>
      <c r="C14" s="113" t="n"/>
      <c r="D14" s="113">
        <f>D13/C13-1</f>
        <v/>
      </c>
      <c r="E14" s="299">
        <f>E13/D13-1</f>
        <v/>
      </c>
      <c r="F14" s="499">
        <f>F13/E13-1</f>
        <v/>
      </c>
      <c r="G14" s="498">
        <f>G13/F13-1</f>
        <v/>
      </c>
      <c r="H14" s="498">
        <f>H13/G13-1</f>
        <v/>
      </c>
      <c r="I14" s="498">
        <f>I13/H13-1</f>
        <v/>
      </c>
      <c r="J14" s="498">
        <f>J13/I13-1</f>
        <v/>
      </c>
      <c r="K14" s="94" t="n"/>
      <c r="L14" s="94" t="n"/>
    </row>
    <row r="15" hidden="1" ht="14.25" customHeight="1">
      <c r="A15" s="92" t="n"/>
      <c r="B15" s="115" t="inlineStr">
        <is>
          <t>Total Revenue</t>
        </is>
      </c>
      <c r="C15" s="500">
        <f>SUM(C13,C11)</f>
        <v/>
      </c>
      <c r="D15" s="500">
        <f>SUM(D13,D11)</f>
        <v/>
      </c>
      <c r="E15" s="501">
        <f>SUM(E13,E11)</f>
        <v/>
      </c>
      <c r="F15" s="500">
        <f>SUM(F13,F11)</f>
        <v/>
      </c>
      <c r="G15" s="500">
        <f>SUM(G13,G11)</f>
        <v/>
      </c>
      <c r="H15" s="500">
        <f>SUM(H13,H11)</f>
        <v/>
      </c>
      <c r="I15" s="500">
        <f>SUM(I13,I11)</f>
        <v/>
      </c>
      <c r="J15" s="500">
        <f>SUM(J13,J11)</f>
        <v/>
      </c>
      <c r="K15" s="94" t="n"/>
      <c r="L15" s="94" t="n"/>
    </row>
    <row r="16" hidden="1" ht="14.25" customHeight="1">
      <c r="A16" s="92" t="n"/>
      <c r="B16" s="111" t="inlineStr">
        <is>
          <t>% Growth</t>
        </is>
      </c>
      <c r="C16" s="118" t="n"/>
      <c r="D16" s="118">
        <f>D15/C15-1</f>
        <v/>
      </c>
      <c r="E16" s="301">
        <f>E15/D15-1</f>
        <v/>
      </c>
      <c r="F16" s="285">
        <f>F15/E15-1</f>
        <v/>
      </c>
      <c r="G16" s="119">
        <f>G15/F15-1</f>
        <v/>
      </c>
      <c r="H16" s="119">
        <f>H15/G15-1</f>
        <v/>
      </c>
      <c r="I16" s="119">
        <f>I15/H15-1</f>
        <v/>
      </c>
      <c r="J16" s="119">
        <f>J15/I15-1</f>
        <v/>
      </c>
      <c r="K16" s="94" t="n"/>
      <c r="L16" s="94" t="n"/>
    </row>
    <row r="17" hidden="1" ht="14.25" customHeight="1">
      <c r="A17" s="92" t="n"/>
      <c r="B17" s="120" t="n"/>
      <c r="C17" s="502" t="n"/>
      <c r="D17" s="502" t="n"/>
      <c r="E17" s="503" t="n"/>
      <c r="F17" s="286" t="n"/>
      <c r="G17" s="101" t="n"/>
      <c r="H17" s="101" t="n"/>
      <c r="I17" s="101" t="n"/>
      <c r="J17" s="101" t="n"/>
      <c r="K17" s="94" t="n"/>
      <c r="L17" s="94" t="n"/>
    </row>
    <row r="18" hidden="1" ht="14.25" customHeight="1">
      <c r="A18" s="92" t="n"/>
      <c r="B18" s="120" t="inlineStr">
        <is>
          <t>ASM as % of Revenue</t>
        </is>
      </c>
      <c r="C18" s="121">
        <f>C11/C15</f>
        <v/>
      </c>
      <c r="D18" s="121">
        <f>D11/D15</f>
        <v/>
      </c>
      <c r="E18" s="303">
        <f>E11/E15</f>
        <v/>
      </c>
      <c r="F18" s="287">
        <f>F11/F15</f>
        <v/>
      </c>
      <c r="G18" s="121">
        <f>G11/G15</f>
        <v/>
      </c>
      <c r="H18" s="121">
        <f>H11/H15</f>
        <v/>
      </c>
      <c r="I18" s="121">
        <f>I11/I15</f>
        <v/>
      </c>
      <c r="J18" s="121">
        <f>J11/J15</f>
        <v/>
      </c>
      <c r="K18" s="94" t="n"/>
      <c r="L18" s="94" t="n"/>
    </row>
    <row r="19" hidden="1" ht="14.25" customHeight="1">
      <c r="A19" s="92" t="n"/>
      <c r="B19" s="120" t="inlineStr">
        <is>
          <t>TechOps as % of Revenue</t>
        </is>
      </c>
      <c r="C19" s="121">
        <f>C13/C15</f>
        <v/>
      </c>
      <c r="D19" s="121">
        <f>D13/D15</f>
        <v/>
      </c>
      <c r="E19" s="303">
        <f>E13/E15</f>
        <v/>
      </c>
      <c r="F19" s="287">
        <f>F13/F15</f>
        <v/>
      </c>
      <c r="G19" s="121">
        <f>G13/G15</f>
        <v/>
      </c>
      <c r="H19" s="121">
        <f>H13/H15</f>
        <v/>
      </c>
      <c r="I19" s="121">
        <f>I13/I15</f>
        <v/>
      </c>
      <c r="J19" s="121">
        <f>J13/J15</f>
        <v/>
      </c>
      <c r="K19" s="94" t="n"/>
      <c r="L19" s="94" t="n"/>
    </row>
    <row r="20" hidden="1" ht="14.25" customHeight="1">
      <c r="A20" s="92" t="n"/>
      <c r="B20" s="120" t="n"/>
      <c r="C20" s="121" t="n"/>
      <c r="D20" s="121" t="n"/>
      <c r="E20" s="303" t="n"/>
      <c r="F20" s="286" t="n"/>
      <c r="G20" s="101" t="n"/>
      <c r="H20" s="101" t="n"/>
      <c r="I20" s="101" t="n"/>
      <c r="J20" s="101" t="n"/>
      <c r="K20" s="94" t="n"/>
      <c r="L20" s="94" t="n"/>
    </row>
    <row r="21" hidden="1" ht="14.25" customHeight="1">
      <c r="A21" s="92" t="n"/>
      <c r="B21" s="112" t="inlineStr">
        <is>
          <t>(COGS as % of Segment Revenue)</t>
        </is>
      </c>
      <c r="C21" s="101" t="n"/>
      <c r="D21" s="101" t="n"/>
      <c r="E21" s="304" t="n"/>
      <c r="F21" s="286" t="n"/>
      <c r="G21" s="101" t="n"/>
      <c r="H21" s="101" t="n"/>
      <c r="I21" s="101" t="n"/>
      <c r="J21" s="101" t="n"/>
      <c r="K21" s="94" t="n"/>
      <c r="L21" s="94" t="n"/>
    </row>
    <row r="22" ht="14.25" customHeight="1">
      <c r="A22" s="92" t="n"/>
      <c r="B22" s="103" t="inlineStr">
        <is>
          <t>Cost of Goods Sold</t>
        </is>
      </c>
      <c r="C22" s="504" t="n"/>
      <c r="D22" s="504" t="n"/>
      <c r="E22" s="505" t="n"/>
      <c r="F22" s="504" t="n"/>
      <c r="G22" s="504" t="n"/>
      <c r="H22" s="504" t="n"/>
      <c r="I22" s="504" t="n"/>
      <c r="J22" s="504" t="n"/>
      <c r="K22" s="94" t="n"/>
      <c r="L22" s="94" t="n"/>
    </row>
    <row r="23" ht="14.25" customHeight="1">
      <c r="A23" s="92" t="n"/>
      <c r="B23" s="120" t="inlineStr">
        <is>
          <t>Product COGS, $mm</t>
        </is>
      </c>
      <c r="C23" s="506">
        <f>'Income Statement + Forecast'!C42</f>
        <v/>
      </c>
      <c r="D23" s="506">
        <f>'Income Statement + Forecast'!D42</f>
        <v/>
      </c>
      <c r="E23" s="507">
        <f>'Income Statement + Forecast'!E42</f>
        <v/>
      </c>
      <c r="F23" s="508">
        <f>F15*F24</f>
        <v/>
      </c>
      <c r="G23" s="509">
        <f>G15*G24</f>
        <v/>
      </c>
      <c r="H23" s="509">
        <f>H15*H24</f>
        <v/>
      </c>
      <c r="I23" s="509">
        <f>I15*I24</f>
        <v/>
      </c>
      <c r="J23" s="509">
        <f>J15*J24</f>
        <v/>
      </c>
      <c r="K23" s="94" t="n"/>
      <c r="L23" s="94" t="n"/>
    </row>
    <row r="24" ht="14.25" customHeight="1">
      <c r="A24" s="92" t="n"/>
      <c r="B24" s="111" t="inlineStr">
        <is>
          <t>% Revenue</t>
        </is>
      </c>
      <c r="C24" s="121">
        <f>C23/C15</f>
        <v/>
      </c>
      <c r="D24" s="121">
        <f>D23/D15</f>
        <v/>
      </c>
      <c r="E24" s="303">
        <f>E23/E15</f>
        <v/>
      </c>
      <c r="F24" s="485">
        <f>CHOOSE($C$5,F25,F26,F27)</f>
        <v/>
      </c>
      <c r="G24" s="486">
        <f>CHOOSE($C$5,G25,G26,G27)</f>
        <v/>
      </c>
      <c r="H24" s="486">
        <f>CHOOSE($C$5,H25,H26,H27)</f>
        <v/>
      </c>
      <c r="I24" s="486">
        <f>CHOOSE($C$5,I25,I26,I27)</f>
        <v/>
      </c>
      <c r="J24" s="486">
        <f>CHOOSE($C$5,J25,J26,J27)</f>
        <v/>
      </c>
      <c r="K24" s="94" t="n"/>
      <c r="L24" s="94" t="n"/>
    </row>
    <row r="25" ht="14.25" customHeight="1">
      <c r="A25" s="92" t="n"/>
      <c r="B25" s="126" t="inlineStr">
        <is>
          <t>Bear</t>
        </is>
      </c>
      <c r="C25" s="102" t="n"/>
      <c r="D25" s="102" t="n"/>
      <c r="E25" s="510" t="n"/>
      <c r="F25" s="511">
        <f>F26+0.01</f>
        <v/>
      </c>
      <c r="G25" s="511">
        <f>G26+0.01</f>
        <v/>
      </c>
      <c r="H25" s="511">
        <f>H26+0.01</f>
        <v/>
      </c>
      <c r="I25" s="511">
        <f>I26+0.01</f>
        <v/>
      </c>
      <c r="J25" s="511">
        <f>J26+0.01</f>
        <v/>
      </c>
      <c r="K25" s="94" t="n"/>
      <c r="L25" s="94" t="n"/>
    </row>
    <row r="26" ht="14.25" customHeight="1">
      <c r="A26" s="92" t="n"/>
      <c r="B26" s="128" t="inlineStr">
        <is>
          <t>Base</t>
        </is>
      </c>
      <c r="C26" s="101" t="n"/>
      <c r="D26" s="101" t="n"/>
      <c r="E26" s="512" t="n"/>
      <c r="F26" s="485">
        <f>60%-3%</f>
        <v/>
      </c>
      <c r="G26" s="486">
        <f>F26+0.01</f>
        <v/>
      </c>
      <c r="H26" s="486">
        <f>G26+0.01</f>
        <v/>
      </c>
      <c r="I26" s="486">
        <f>H26+0.01</f>
        <v/>
      </c>
      <c r="J26" s="486">
        <f>I26+0.01</f>
        <v/>
      </c>
      <c r="K26" s="94" t="n"/>
      <c r="L26" s="94" t="n"/>
    </row>
    <row r="27" ht="14.25" customHeight="1">
      <c r="A27" s="92" t="n"/>
      <c r="B27" s="129" t="inlineStr">
        <is>
          <t>Bull</t>
        </is>
      </c>
      <c r="C27" s="130" t="n"/>
      <c r="D27" s="130" t="n"/>
      <c r="E27" s="513" t="n"/>
      <c r="F27" s="514">
        <f>F26-0.01</f>
        <v/>
      </c>
      <c r="G27" s="514">
        <f>G26-0.01</f>
        <v/>
      </c>
      <c r="H27" s="514">
        <f>H26-0.01</f>
        <v/>
      </c>
      <c r="I27" s="514">
        <f>I26-0.01</f>
        <v/>
      </c>
      <c r="J27" s="514">
        <f>J26-0.01</f>
        <v/>
      </c>
      <c r="K27" s="94" t="n"/>
      <c r="L27" s="94" t="n"/>
    </row>
    <row r="28" ht="14.25" customHeight="1">
      <c r="A28" s="92" t="n"/>
      <c r="B28" s="111" t="n"/>
      <c r="C28" s="132" t="n"/>
      <c r="D28" s="132" t="n"/>
      <c r="E28" s="515" t="n"/>
      <c r="F28" s="516" t="n"/>
      <c r="G28" s="517" t="n"/>
      <c r="H28" s="517" t="n"/>
      <c r="I28" s="517" t="n"/>
      <c r="J28" s="517" t="n"/>
      <c r="K28" s="94" t="n"/>
      <c r="L28" s="94" t="n"/>
    </row>
    <row r="29" ht="14.25" customHeight="1">
      <c r="A29" s="92" t="n"/>
      <c r="B29" s="112" t="inlineStr">
        <is>
          <t>(OpEx, D&amp;A, CapEx as % of Revenue)</t>
        </is>
      </c>
      <c r="C29" s="486" t="n"/>
      <c r="D29" s="486" t="n"/>
      <c r="E29" s="518" t="n"/>
      <c r="F29" s="485" t="n"/>
      <c r="G29" s="486" t="n"/>
      <c r="H29" s="486" t="n"/>
      <c r="I29" s="486" t="n"/>
      <c r="J29" s="486" t="n"/>
      <c r="K29" s="94" t="n"/>
      <c r="L29" s="94" t="n"/>
    </row>
    <row r="30" ht="14.25" customHeight="1">
      <c r="A30" s="92" t="n"/>
      <c r="B30" s="103" t="inlineStr">
        <is>
          <t>Operating Expenses</t>
        </is>
      </c>
      <c r="C30" s="104" t="n"/>
      <c r="D30" s="104" t="n"/>
      <c r="E30" s="297" t="n"/>
      <c r="F30" s="104" t="n"/>
      <c r="G30" s="104" t="n"/>
      <c r="H30" s="104" t="n"/>
      <c r="I30" s="104" t="n"/>
      <c r="J30" s="104" t="n"/>
      <c r="K30" s="94" t="n"/>
      <c r="L30" s="94" t="n"/>
    </row>
    <row r="31" ht="14.25" customHeight="1">
      <c r="A31" s="92" t="n"/>
      <c r="B31" s="135" t="inlineStr">
        <is>
          <t>R&amp;D Expenses</t>
        </is>
      </c>
      <c r="C31" s="519">
        <f>'Income Statement + Forecast'!C46</f>
        <v/>
      </c>
      <c r="D31" s="519">
        <f>'Income Statement + Forecast'!D46</f>
        <v/>
      </c>
      <c r="E31" s="507">
        <f>'Income Statement + Forecast'!E46</f>
        <v/>
      </c>
      <c r="F31" s="520">
        <f>F15*F32</f>
        <v/>
      </c>
      <c r="G31" s="521">
        <f>G15*G32</f>
        <v/>
      </c>
      <c r="H31" s="521">
        <f>H15*H32</f>
        <v/>
      </c>
      <c r="I31" s="521">
        <f>I15*I32</f>
        <v/>
      </c>
      <c r="J31" s="521">
        <f>J15*J32</f>
        <v/>
      </c>
      <c r="K31" s="94" t="n"/>
      <c r="L31" s="94" t="n"/>
    </row>
    <row r="32" ht="14.25" customHeight="1">
      <c r="A32" s="92" t="n"/>
      <c r="B32" s="135" t="inlineStr">
        <is>
          <t>% Revenue</t>
        </is>
      </c>
      <c r="C32" s="121">
        <f>C31/C$15</f>
        <v/>
      </c>
      <c r="D32" s="121">
        <f>D31/D$15</f>
        <v/>
      </c>
      <c r="E32" s="303">
        <f>E31/E$15</f>
        <v/>
      </c>
      <c r="F32" s="485">
        <f>CHOOSE($C$5,F33,F34,F35)</f>
        <v/>
      </c>
      <c r="G32" s="486">
        <f>CHOOSE($C$5,G33,G34,G35)</f>
        <v/>
      </c>
      <c r="H32" s="486">
        <f>CHOOSE($C$5,H33,H34,H35)</f>
        <v/>
      </c>
      <c r="I32" s="486">
        <f>CHOOSE($C$5,I33,I34,I35)</f>
        <v/>
      </c>
      <c r="J32" s="486">
        <f>CHOOSE($C$5,J33,J34,J35)</f>
        <v/>
      </c>
      <c r="K32" s="94" t="n"/>
      <c r="L32" s="94" t="n"/>
    </row>
    <row r="33" ht="14.25" customHeight="1">
      <c r="A33" s="92" t="n"/>
      <c r="B33" s="126" t="inlineStr">
        <is>
          <t>Bear</t>
        </is>
      </c>
      <c r="C33" s="102" t="n"/>
      <c r="D33" s="102" t="n"/>
      <c r="E33" s="510" t="n"/>
      <c r="F33" s="511">
        <f>F34+0.004</f>
        <v/>
      </c>
      <c r="G33" s="511">
        <f>G34+0.004</f>
        <v/>
      </c>
      <c r="H33" s="511">
        <f>H34+0.004</f>
        <v/>
      </c>
      <c r="I33" s="511">
        <f>I34+0.004</f>
        <v/>
      </c>
      <c r="J33" s="511">
        <f>J34+0.004</f>
        <v/>
      </c>
      <c r="K33" s="94" t="n"/>
      <c r="L33" s="94" t="n"/>
    </row>
    <row r="34" ht="14.25" customHeight="1">
      <c r="A34" s="92" t="n"/>
      <c r="B34" s="128" t="inlineStr">
        <is>
          <t>Base</t>
        </is>
      </c>
      <c r="C34" s="101" t="n"/>
      <c r="D34" s="101" t="n"/>
      <c r="E34" s="512" t="n"/>
      <c r="F34" s="485">
        <f>AVERAGE(C32:E32)</f>
        <v/>
      </c>
      <c r="G34" s="522">
        <f>AVERAGE(F34,E32,D32)</f>
        <v/>
      </c>
      <c r="H34" s="522">
        <f>AVERAGE(G34,F34,E32)</f>
        <v/>
      </c>
      <c r="I34" s="522">
        <f>AVERAGE(F34:H34)</f>
        <v/>
      </c>
      <c r="J34" s="522">
        <f>AVERAGE(G34:I34)</f>
        <v/>
      </c>
      <c r="K34" s="94" t="n"/>
      <c r="L34" s="94" t="n"/>
    </row>
    <row r="35" ht="14.25" customHeight="1">
      <c r="A35" s="92" t="n"/>
      <c r="B35" s="129" t="inlineStr">
        <is>
          <t>Bull</t>
        </is>
      </c>
      <c r="C35" s="130" t="n"/>
      <c r="D35" s="130" t="n"/>
      <c r="E35" s="513" t="n"/>
      <c r="F35" s="514">
        <f>F34-0.004</f>
        <v/>
      </c>
      <c r="G35" s="514">
        <f>G34-0.004</f>
        <v/>
      </c>
      <c r="H35" s="514">
        <f>H34-0.004</f>
        <v/>
      </c>
      <c r="I35" s="514">
        <f>I34-0.004</f>
        <v/>
      </c>
      <c r="J35" s="514">
        <f>J34-0.004</f>
        <v/>
      </c>
      <c r="K35" s="94" t="n"/>
      <c r="L35" s="94" t="n"/>
    </row>
    <row r="36" ht="14.25" customHeight="1">
      <c r="A36" s="92" t="n"/>
      <c r="B36" s="111" t="n"/>
      <c r="C36" s="101" t="n"/>
      <c r="D36" s="101" t="n"/>
      <c r="E36" s="512" t="n"/>
      <c r="F36" s="516" t="n"/>
      <c r="G36" s="517" t="n"/>
      <c r="H36" s="517" t="n"/>
      <c r="I36" s="517" t="n"/>
      <c r="J36" s="517" t="n"/>
      <c r="K36" s="94" t="n"/>
      <c r="L36" s="94" t="n"/>
    </row>
    <row r="37" ht="14.25" customHeight="1">
      <c r="A37" s="92" t="n"/>
      <c r="B37" s="135" t="inlineStr">
        <is>
          <t>Stock-based Compensation</t>
        </is>
      </c>
      <c r="C37" s="506">
        <f>'Income Statement + Forecast'!C47</f>
        <v/>
      </c>
      <c r="D37" s="506">
        <f>'Income Statement + Forecast'!D47</f>
        <v/>
      </c>
      <c r="E37" s="507">
        <f>'Income Statement + Forecast'!E47</f>
        <v/>
      </c>
      <c r="F37" s="520">
        <f>F$15*F38</f>
        <v/>
      </c>
      <c r="G37" s="521">
        <f>G$15*G38</f>
        <v/>
      </c>
      <c r="H37" s="521">
        <f>H$15*H38</f>
        <v/>
      </c>
      <c r="I37" s="521">
        <f>I$15*I38</f>
        <v/>
      </c>
      <c r="J37" s="521">
        <f>J$15*J38</f>
        <v/>
      </c>
      <c r="K37" s="94" t="n"/>
      <c r="L37" s="94" t="n"/>
    </row>
    <row r="38" ht="14.25" customHeight="1">
      <c r="A38" s="92" t="n"/>
      <c r="B38" s="135" t="inlineStr">
        <is>
          <t>% Revenue</t>
        </is>
      </c>
      <c r="C38" s="121">
        <f>C37/C$15</f>
        <v/>
      </c>
      <c r="D38" s="121">
        <f>D37/D$15</f>
        <v/>
      </c>
      <c r="E38" s="303">
        <f>E37/E$15</f>
        <v/>
      </c>
      <c r="F38" s="485">
        <f>CHOOSE($C$5,F39,F40,F41)</f>
        <v/>
      </c>
      <c r="G38" s="486">
        <f>CHOOSE($C$5,G39,G40,G41)</f>
        <v/>
      </c>
      <c r="H38" s="486">
        <f>CHOOSE($C$5,H39,H40,H41)</f>
        <v/>
      </c>
      <c r="I38" s="486">
        <f>CHOOSE($C$5,I39,I40,I41)</f>
        <v/>
      </c>
      <c r="J38" s="486">
        <f>CHOOSE($C$5,J39,J40,J41)</f>
        <v/>
      </c>
      <c r="K38" s="94" t="n"/>
      <c r="L38" s="94" t="n"/>
    </row>
    <row r="39" ht="14.25" customHeight="1">
      <c r="A39" s="92" t="n"/>
      <c r="B39" s="126" t="inlineStr">
        <is>
          <t>Bear</t>
        </is>
      </c>
      <c r="C39" s="102" t="n"/>
      <c r="D39" s="102" t="n"/>
      <c r="E39" s="510" t="n"/>
      <c r="F39" s="511">
        <f>F40+0.002</f>
        <v/>
      </c>
      <c r="G39" s="511">
        <f>G40+0.002</f>
        <v/>
      </c>
      <c r="H39" s="511">
        <f>H40+0.002</f>
        <v/>
      </c>
      <c r="I39" s="511">
        <f>I40+0.002</f>
        <v/>
      </c>
      <c r="J39" s="511">
        <f>J40+0.002</f>
        <v/>
      </c>
      <c r="K39" s="94" t="n"/>
      <c r="L39" s="94" t="n"/>
    </row>
    <row r="40" ht="14.25" customHeight="1">
      <c r="A40" s="92" t="n"/>
      <c r="B40" s="128" t="inlineStr">
        <is>
          <t>Base</t>
        </is>
      </c>
      <c r="C40" s="101" t="n"/>
      <c r="D40" s="101" t="n"/>
      <c r="E40" s="512" t="n"/>
      <c r="F40" s="516">
        <f>AVERAGE(C38:E38)</f>
        <v/>
      </c>
      <c r="G40" s="486">
        <f>F40+0.006</f>
        <v/>
      </c>
      <c r="H40" s="486">
        <f>G40+0.006</f>
        <v/>
      </c>
      <c r="I40" s="486">
        <f>H40+0.006</f>
        <v/>
      </c>
      <c r="J40" s="486">
        <f>I40+0.006</f>
        <v/>
      </c>
      <c r="K40" s="94" t="n"/>
      <c r="L40" s="94" t="n"/>
    </row>
    <row r="41" ht="14.25" customHeight="1">
      <c r="A41" s="92" t="n"/>
      <c r="B41" s="129" t="inlineStr">
        <is>
          <t>Bull</t>
        </is>
      </c>
      <c r="C41" s="130" t="n"/>
      <c r="D41" s="130" t="n"/>
      <c r="E41" s="513" t="n"/>
      <c r="F41" s="514">
        <f>F40-0.002</f>
        <v/>
      </c>
      <c r="G41" s="514">
        <f>G40-0.002</f>
        <v/>
      </c>
      <c r="H41" s="514">
        <f>H40-0.002</f>
        <v/>
      </c>
      <c r="I41" s="514">
        <f>I40-0.002</f>
        <v/>
      </c>
      <c r="J41" s="514">
        <f>J40-0.002</f>
        <v/>
      </c>
      <c r="K41" s="94" t="n"/>
      <c r="L41" s="94" t="n"/>
    </row>
    <row r="42" ht="14.25" customHeight="1">
      <c r="A42" s="92" t="n"/>
      <c r="B42" s="111" t="n"/>
      <c r="C42" s="101" t="n"/>
      <c r="D42" s="101" t="n"/>
      <c r="E42" s="512" t="n"/>
      <c r="F42" s="516" t="n"/>
      <c r="G42" s="517" t="n"/>
      <c r="H42" s="517" t="n"/>
      <c r="I42" s="517" t="n"/>
      <c r="J42" s="517" t="n"/>
      <c r="K42" s="94" t="n"/>
      <c r="L42" s="94" t="n"/>
    </row>
    <row r="43" ht="14.25" customHeight="1">
      <c r="A43" s="92" t="n"/>
      <c r="B43" s="135" t="inlineStr">
        <is>
          <t>SG&amp;A Expenses</t>
        </is>
      </c>
      <c r="C43" s="506">
        <f>'Income Statement + Forecast'!C48</f>
        <v/>
      </c>
      <c r="D43" s="506">
        <f>'Income Statement + Forecast'!D48</f>
        <v/>
      </c>
      <c r="E43" s="507">
        <f>'Income Statement + Forecast'!E48</f>
        <v/>
      </c>
      <c r="F43" s="520">
        <f>F$15*F44</f>
        <v/>
      </c>
      <c r="G43" s="521">
        <f>G$15*G44</f>
        <v/>
      </c>
      <c r="H43" s="521">
        <f>H$15*H44</f>
        <v/>
      </c>
      <c r="I43" s="521">
        <f>I$15*I44</f>
        <v/>
      </c>
      <c r="J43" s="521">
        <f>J$15*J44</f>
        <v/>
      </c>
      <c r="K43" s="94" t="n"/>
      <c r="L43" s="94" t="n"/>
    </row>
    <row r="44" ht="14.25" customHeight="1">
      <c r="A44" s="92" t="n"/>
      <c r="B44" s="135" t="inlineStr">
        <is>
          <t>% Expenses</t>
        </is>
      </c>
      <c r="C44" s="121">
        <f>C43/C$15</f>
        <v/>
      </c>
      <c r="D44" s="121">
        <f>D43/D$15</f>
        <v/>
      </c>
      <c r="E44" s="303">
        <f>E43/E$15</f>
        <v/>
      </c>
      <c r="F44" s="485">
        <f>CHOOSE($C$5,F45,F46,F47)</f>
        <v/>
      </c>
      <c r="G44" s="486">
        <f>CHOOSE($C$5,G45,G46,G47)</f>
        <v/>
      </c>
      <c r="H44" s="486">
        <f>CHOOSE($C$5,H45,H46,H47)</f>
        <v/>
      </c>
      <c r="I44" s="486">
        <f>CHOOSE($C$5,I45,I46,I47)</f>
        <v/>
      </c>
      <c r="J44" s="486">
        <f>CHOOSE($C$5,J45,J46,J47)</f>
        <v/>
      </c>
      <c r="K44" s="94" t="n"/>
      <c r="L44" s="94" t="n"/>
    </row>
    <row r="45" ht="14.25" customHeight="1">
      <c r="A45" s="92" t="n"/>
      <c r="B45" s="126" t="inlineStr">
        <is>
          <t>Bear</t>
        </is>
      </c>
      <c r="C45" s="102" t="n"/>
      <c r="D45" s="102" t="n"/>
      <c r="E45" s="510" t="n"/>
      <c r="F45" s="511">
        <f>F46+0.01</f>
        <v/>
      </c>
      <c r="G45" s="511">
        <f>G46+0.01</f>
        <v/>
      </c>
      <c r="H45" s="511">
        <f>H46+0.01</f>
        <v/>
      </c>
      <c r="I45" s="511">
        <f>I46+0.01</f>
        <v/>
      </c>
      <c r="J45" s="511">
        <f>J46+0.01</f>
        <v/>
      </c>
      <c r="K45" s="94" t="n"/>
      <c r="L45" s="94" t="n"/>
    </row>
    <row r="46" ht="14.25" customHeight="1">
      <c r="A46" s="92" t="n"/>
      <c r="B46" s="128" t="inlineStr">
        <is>
          <t>Base</t>
        </is>
      </c>
      <c r="C46" s="101" t="n"/>
      <c r="D46" s="101" t="n"/>
      <c r="E46" s="512" t="n"/>
      <c r="F46" s="516">
        <f>AVERAGE(C44:E44)</f>
        <v/>
      </c>
      <c r="G46" s="522">
        <f>AVERAGE(F46,E44,D44)</f>
        <v/>
      </c>
      <c r="H46" s="522">
        <f>AVERAGE(F46:G46,E44)</f>
        <v/>
      </c>
      <c r="I46" s="522">
        <f>AVERAGE(F46:H46)</f>
        <v/>
      </c>
      <c r="J46" s="522">
        <f>AVERAGE(G46:I46)</f>
        <v/>
      </c>
      <c r="K46" s="94" t="n"/>
      <c r="L46" s="94" t="n"/>
    </row>
    <row r="47" ht="14.25" customHeight="1">
      <c r="A47" s="92" t="n"/>
      <c r="B47" s="129" t="inlineStr">
        <is>
          <t>Bull</t>
        </is>
      </c>
      <c r="C47" s="130" t="n"/>
      <c r="D47" s="130" t="n"/>
      <c r="E47" s="513" t="n"/>
      <c r="F47" s="514">
        <f>F46-0.01</f>
        <v/>
      </c>
      <c r="G47" s="514">
        <f>G46-0.01</f>
        <v/>
      </c>
      <c r="H47" s="514">
        <f>H46-0.01</f>
        <v/>
      </c>
      <c r="I47" s="514">
        <f>I46-0.01</f>
        <v/>
      </c>
      <c r="J47" s="514">
        <f>J46-0.01</f>
        <v/>
      </c>
      <c r="K47" s="94" t="n"/>
      <c r="L47" s="94" t="n"/>
    </row>
    <row r="48" ht="14.25" customHeight="1">
      <c r="A48" s="92" t="n"/>
      <c r="B48" s="111" t="n"/>
      <c r="C48" s="101" t="n"/>
      <c r="D48" s="101" t="n"/>
      <c r="E48" s="512" t="n"/>
      <c r="F48" s="516" t="n"/>
      <c r="G48" s="517" t="n"/>
      <c r="H48" s="517" t="n"/>
      <c r="I48" s="517" t="n"/>
      <c r="J48" s="517" t="n"/>
      <c r="K48" s="94" t="n"/>
      <c r="L48" s="94" t="n"/>
    </row>
    <row r="49" ht="14.25" customHeight="1">
      <c r="A49" s="92" t="n"/>
      <c r="B49" s="115" t="inlineStr">
        <is>
          <t>Total Operating Expenses</t>
        </is>
      </c>
      <c r="C49" s="500">
        <f>SUM(C43,C37,C31)</f>
        <v/>
      </c>
      <c r="D49" s="500">
        <f>SUM(D43,D37,D31)</f>
        <v/>
      </c>
      <c r="E49" s="501">
        <f>SUM(E43,E37,E31)</f>
        <v/>
      </c>
      <c r="F49" s="500">
        <f>SUM(F43,F37,F31)</f>
        <v/>
      </c>
      <c r="G49" s="500">
        <f>SUM(G43,G37,G31)</f>
        <v/>
      </c>
      <c r="H49" s="500">
        <f>SUM(H43,H37,H31)</f>
        <v/>
      </c>
      <c r="I49" s="500">
        <f>SUM(I43,I37,I31)</f>
        <v/>
      </c>
      <c r="J49" s="500">
        <f>SUM(J43,J37,J31)</f>
        <v/>
      </c>
      <c r="K49" s="94" t="n"/>
      <c r="L49" s="94" t="n"/>
    </row>
    <row r="50" ht="14.25" customHeight="1">
      <c r="A50" s="92" t="n"/>
      <c r="B50" s="111" t="inlineStr">
        <is>
          <t>% Growth</t>
        </is>
      </c>
      <c r="C50" s="118" t="n"/>
      <c r="D50" s="118">
        <f>D49/C49-1</f>
        <v/>
      </c>
      <c r="E50" s="301">
        <f>E49/D49-1</f>
        <v/>
      </c>
      <c r="F50" s="291">
        <f>F49/E49-1</f>
        <v/>
      </c>
      <c r="G50" s="118">
        <f>G49/F49-1</f>
        <v/>
      </c>
      <c r="H50" s="118">
        <f>H49/G49-1</f>
        <v/>
      </c>
      <c r="I50" s="118">
        <f>I49/H49-1</f>
        <v/>
      </c>
      <c r="J50" s="118">
        <f>J49/I49-1</f>
        <v/>
      </c>
      <c r="K50" s="94" t="n"/>
      <c r="L50" s="94" t="n"/>
    </row>
    <row r="51" ht="14.25" customHeight="1">
      <c r="A51" s="92" t="n"/>
      <c r="B51" s="111" t="n"/>
      <c r="C51" s="118" t="n"/>
      <c r="D51" s="118" t="n"/>
      <c r="E51" s="301" t="n"/>
      <c r="F51" s="291" t="n"/>
      <c r="G51" s="118" t="n"/>
      <c r="H51" s="118" t="n"/>
      <c r="I51" s="118" t="n"/>
      <c r="J51" s="118" t="n"/>
      <c r="K51" s="94" t="n"/>
      <c r="L51" s="94" t="n"/>
    </row>
    <row r="52" ht="14.25" customHeight="1">
      <c r="A52" s="95" t="inlineStr">
        <is>
          <t>x</t>
        </is>
      </c>
      <c r="B52" s="138" t="inlineStr">
        <is>
          <t>Working Capital Schedule</t>
        </is>
      </c>
      <c r="C52" s="139" t="n"/>
      <c r="D52" s="139" t="n"/>
      <c r="E52" s="312" t="n"/>
      <c r="F52" s="139" t="n"/>
      <c r="G52" s="139" t="n"/>
      <c r="H52" s="139" t="n"/>
      <c r="I52" s="139" t="n"/>
      <c r="J52" s="139" t="n"/>
      <c r="K52" s="94" t="n"/>
      <c r="L52" s="94" t="n"/>
    </row>
    <row r="53" ht="14.25" customHeight="1">
      <c r="A53" s="92" t="n"/>
      <c r="B53" s="101" t="n"/>
      <c r="C53" s="101" t="n"/>
      <c r="D53" s="101" t="n"/>
      <c r="E53" s="296" t="n"/>
      <c r="F53" s="286" t="n"/>
      <c r="G53" s="101" t="n"/>
      <c r="H53" s="101" t="n"/>
      <c r="I53" s="101" t="n"/>
      <c r="J53" s="101" t="n"/>
      <c r="K53" s="94" t="n"/>
      <c r="L53" s="94" t="n"/>
    </row>
    <row r="54" ht="14.25" customHeight="1">
      <c r="A54" s="92" t="n"/>
      <c r="B54" s="140" t="inlineStr">
        <is>
          <t>Fiscal Year Ending December 31,</t>
        </is>
      </c>
      <c r="C54" s="449" t="n">
        <v>2022</v>
      </c>
      <c r="D54" s="449">
        <f>C54+1</f>
        <v/>
      </c>
      <c r="E54" s="523">
        <f>D54+1</f>
        <v/>
      </c>
      <c r="F54" s="451">
        <f>E54+1</f>
        <v/>
      </c>
      <c r="G54" s="451">
        <f>F54+1</f>
        <v/>
      </c>
      <c r="H54" s="451">
        <f>G54+1</f>
        <v/>
      </c>
      <c r="I54" s="451">
        <f>H54+1</f>
        <v/>
      </c>
      <c r="J54" s="451">
        <f>I54+1</f>
        <v/>
      </c>
      <c r="K54" s="94" t="n"/>
      <c r="L54" s="94" t="n"/>
    </row>
    <row r="55" ht="14.25" customHeight="1">
      <c r="A55" s="92" t="n"/>
      <c r="B55" s="101" t="n"/>
      <c r="C55" s="101" t="n"/>
      <c r="D55" s="101" t="n"/>
      <c r="E55" s="314" t="n"/>
      <c r="F55" s="102" t="n"/>
      <c r="G55" s="102" t="n"/>
      <c r="H55" s="102" t="n"/>
      <c r="I55" s="102" t="n"/>
      <c r="J55" s="102" t="n"/>
      <c r="K55" s="94" t="n"/>
      <c r="L55" s="94" t="n"/>
    </row>
    <row r="56" ht="14.25" customHeight="1">
      <c r="A56" s="92" t="n"/>
      <c r="B56" s="111" t="n"/>
      <c r="C56" s="101" t="n"/>
      <c r="D56" s="101" t="n"/>
      <c r="E56" s="512" t="n"/>
      <c r="F56" s="516" t="n"/>
      <c r="G56" s="524" t="n"/>
      <c r="H56" s="524" t="n"/>
      <c r="I56" s="524" t="n"/>
      <c r="J56" s="524" t="n"/>
      <c r="K56" s="94" t="n"/>
      <c r="L56" s="94" t="n"/>
    </row>
    <row r="57" ht="14.25" customHeight="1">
      <c r="A57" s="92" t="n"/>
      <c r="B57" s="101" t="inlineStr">
        <is>
          <t>NWC</t>
        </is>
      </c>
      <c r="C57" s="506">
        <f>'Balance Sheet'!I20+'Balance Sheet'!I27+'Balance Sheet'!I22-'Balance Sheet'!I63-'Balance Sheet'!I66</f>
        <v/>
      </c>
      <c r="D57" s="506">
        <f>'Balance Sheet'!J20+'Balance Sheet'!J27+'Balance Sheet'!J22-'Balance Sheet'!J63-'Balance Sheet'!J66</f>
        <v/>
      </c>
      <c r="E57" s="507">
        <f>'Balance Sheet'!K20+'Balance Sheet'!K27+'Balance Sheet'!K22-'Balance Sheet'!K63-'Balance Sheet'!K66</f>
        <v/>
      </c>
      <c r="F57" s="520">
        <f>F15*F58</f>
        <v/>
      </c>
      <c r="G57" s="521">
        <f>G15*G58</f>
        <v/>
      </c>
      <c r="H57" s="521">
        <f>H15*H58</f>
        <v/>
      </c>
      <c r="I57" s="521">
        <f>I15*I58</f>
        <v/>
      </c>
      <c r="J57" s="521">
        <f>J15*J58</f>
        <v/>
      </c>
      <c r="K57" s="94" t="n"/>
      <c r="L57" s="94" t="n"/>
    </row>
    <row r="58" ht="14.25" customHeight="1">
      <c r="A58" s="92" t="n"/>
      <c r="B58" s="101" t="inlineStr">
        <is>
          <t>% Revenue</t>
        </is>
      </c>
      <c r="C58" s="121">
        <f>C57/C15</f>
        <v/>
      </c>
      <c r="D58" s="121">
        <f>D57/D15</f>
        <v/>
      </c>
      <c r="E58" s="303">
        <f>E57/E15</f>
        <v/>
      </c>
      <c r="F58" s="287">
        <f>CHOOSE($C$5,F59,F60,F61)</f>
        <v/>
      </c>
      <c r="G58" s="121">
        <f>CHOOSE($C$5,G59,G60,G61)</f>
        <v/>
      </c>
      <c r="H58" s="121">
        <f>CHOOSE($C$5,H59,H60,H61)</f>
        <v/>
      </c>
      <c r="I58" s="121">
        <f>CHOOSE($C$5,I59,I60,I61)</f>
        <v/>
      </c>
      <c r="J58" s="121">
        <f>CHOOSE($C$5,J59,J60,J61)</f>
        <v/>
      </c>
      <c r="K58" s="94" t="n"/>
      <c r="L58" s="94" t="n"/>
    </row>
    <row r="59" ht="14.25" customHeight="1">
      <c r="A59" s="92" t="n"/>
      <c r="B59" s="142" t="inlineStr">
        <is>
          <t>Bear</t>
        </is>
      </c>
      <c r="C59" s="102" t="n"/>
      <c r="D59" s="102" t="n"/>
      <c r="E59" s="510" t="n"/>
      <c r="F59" s="511">
        <f>F60-0.8%</f>
        <v/>
      </c>
      <c r="G59" s="511">
        <f>G60-0.8%</f>
        <v/>
      </c>
      <c r="H59" s="511">
        <f>H60-0.8%</f>
        <v/>
      </c>
      <c r="I59" s="511">
        <f>I60-0.8%</f>
        <v/>
      </c>
      <c r="J59" s="511">
        <f>J60-0.8%</f>
        <v/>
      </c>
      <c r="K59" s="94" t="n"/>
      <c r="L59" s="94" t="n"/>
    </row>
    <row r="60" ht="14.25" customHeight="1">
      <c r="A60" s="92" t="n"/>
      <c r="B60" s="143" t="inlineStr">
        <is>
          <t>Base</t>
        </is>
      </c>
      <c r="C60" s="101" t="n"/>
      <c r="D60" s="101" t="n"/>
      <c r="E60" s="512" t="n"/>
      <c r="F60" s="516">
        <f>AVERAGE(C58:E58)-5%</f>
        <v/>
      </c>
      <c r="G60" s="522">
        <f>AVERAGE(F60,E58,D58)-8%</f>
        <v/>
      </c>
      <c r="H60" s="522">
        <f>AVERAGE(G60,F60,E58)-7%</f>
        <v/>
      </c>
      <c r="I60" s="522">
        <f>AVERAGE(F60:H60)-7%</f>
        <v/>
      </c>
      <c r="J60" s="522">
        <f>AVERAGE(G60:I60)-7%</f>
        <v/>
      </c>
      <c r="K60" s="94" t="n"/>
      <c r="L60" s="94" t="n"/>
    </row>
    <row r="61" ht="14.25" customHeight="1">
      <c r="A61" s="92" t="n"/>
      <c r="B61" s="144" t="inlineStr">
        <is>
          <t>Bull</t>
        </is>
      </c>
      <c r="C61" s="130" t="n"/>
      <c r="D61" s="130" t="n"/>
      <c r="E61" s="525" t="n"/>
      <c r="F61" s="514">
        <f>F60+0.8%</f>
        <v/>
      </c>
      <c r="G61" s="514">
        <f>G60+0.8%</f>
        <v/>
      </c>
      <c r="H61" s="514">
        <f>H60+0.8%</f>
        <v/>
      </c>
      <c r="I61" s="514">
        <f>I60+0.8%</f>
        <v/>
      </c>
      <c r="J61" s="514">
        <f>J60+0.8%</f>
        <v/>
      </c>
      <c r="K61" s="94" t="n"/>
      <c r="L61" s="94" t="n"/>
    </row>
    <row r="62" ht="14.25" customHeight="1">
      <c r="A62" s="92" t="n"/>
      <c r="B62" s="135" t="n"/>
      <c r="C62" s="526" t="n"/>
      <c r="D62" s="526" t="n"/>
      <c r="E62" s="527" t="n"/>
      <c r="F62" s="528" t="n"/>
      <c r="G62" s="502" t="n"/>
      <c r="H62" s="502" t="n"/>
      <c r="I62" s="529" t="n"/>
      <c r="J62" s="529" t="n"/>
      <c r="K62" s="94" t="n"/>
      <c r="L62" s="94" t="n"/>
    </row>
    <row r="63" ht="13" customFormat="1" customHeight="1" s="94">
      <c r="B63" s="147" t="inlineStr">
        <is>
          <t>CapEx Schedule</t>
        </is>
      </c>
      <c r="C63" s="148" t="n"/>
      <c r="D63" s="148" t="n"/>
      <c r="E63" s="317" t="n"/>
      <c r="F63" s="292" t="n"/>
      <c r="G63" s="148" t="n"/>
      <c r="H63" s="148" t="n"/>
      <c r="I63" s="148" t="n"/>
      <c r="J63" s="148" t="n"/>
    </row>
    <row r="64" ht="13" customFormat="1" customHeight="1" s="94">
      <c r="B64" s="101" t="n"/>
      <c r="C64" s="101" t="n"/>
      <c r="D64" s="101" t="n"/>
      <c r="E64" s="304" t="n"/>
      <c r="F64" s="286" t="n"/>
      <c r="G64" s="101" t="n"/>
      <c r="H64" s="101" t="n"/>
      <c r="I64" s="92" t="n"/>
    </row>
    <row r="65" ht="14" customFormat="1" customHeight="1" s="94">
      <c r="B65" s="140" t="inlineStr">
        <is>
          <t>Fiscal Year Ending December 31,</t>
        </is>
      </c>
      <c r="C65" s="452" t="n"/>
      <c r="D65" s="452" t="n"/>
      <c r="E65" s="530" t="n"/>
      <c r="F65" s="452" t="n"/>
      <c r="G65" s="452" t="n"/>
      <c r="H65" s="452" t="n"/>
      <c r="I65" s="452" t="n"/>
      <c r="J65" s="452" t="n"/>
    </row>
    <row r="66" ht="14.25" customHeight="1">
      <c r="A66" s="92" t="n"/>
      <c r="B66" s="101" t="inlineStr">
        <is>
          <t>CapEx</t>
        </is>
      </c>
      <c r="C66" s="506">
        <f>'Cash Flow Statement'!F39</f>
        <v/>
      </c>
      <c r="D66" s="506">
        <f>'Cash Flow Statement'!G39</f>
        <v/>
      </c>
      <c r="E66" s="507">
        <f>'Cash Flow Statement'!H39</f>
        <v/>
      </c>
      <c r="F66" s="520">
        <f>F15*F67</f>
        <v/>
      </c>
      <c r="G66" s="521">
        <f>G15*G67</f>
        <v/>
      </c>
      <c r="H66" s="521">
        <f>H15*H67</f>
        <v/>
      </c>
      <c r="I66" s="521">
        <f>I15*I67</f>
        <v/>
      </c>
      <c r="J66" s="521">
        <f>J15*J67</f>
        <v/>
      </c>
      <c r="K66" s="94" t="n"/>
      <c r="L66" s="94" t="n"/>
    </row>
    <row r="67" ht="14.25" customHeight="1">
      <c r="A67" s="92" t="n"/>
      <c r="B67" s="101" t="inlineStr">
        <is>
          <t>% Revenue</t>
        </is>
      </c>
      <c r="C67" s="118">
        <f>C66/C15</f>
        <v/>
      </c>
      <c r="D67" s="118">
        <f>D66/D15</f>
        <v/>
      </c>
      <c r="E67" s="301">
        <f>E66/E15</f>
        <v/>
      </c>
      <c r="F67" s="291">
        <f>CHOOSE($C$5,F68,F69,F70)</f>
        <v/>
      </c>
      <c r="G67" s="118">
        <f>CHOOSE($C$5,G68,G69,G70)</f>
        <v/>
      </c>
      <c r="H67" s="118">
        <f>CHOOSE($C$5,H68,H69,H70)</f>
        <v/>
      </c>
      <c r="I67" s="118">
        <f>CHOOSE($C$5,I68,I69,I70)</f>
        <v/>
      </c>
      <c r="J67" s="118">
        <f>CHOOSE($C$5,J68,J69,J70)</f>
        <v/>
      </c>
      <c r="K67" s="94" t="n"/>
      <c r="L67" s="94" t="n"/>
    </row>
    <row r="68" ht="14.25" customHeight="1">
      <c r="A68" s="92" t="n"/>
      <c r="B68" s="142" t="inlineStr">
        <is>
          <t>Bear</t>
        </is>
      </c>
      <c r="C68" s="102" t="n"/>
      <c r="D68" s="102" t="n"/>
      <c r="E68" s="510" t="n"/>
      <c r="F68" s="511">
        <f>F69-0.2%</f>
        <v/>
      </c>
      <c r="G68" s="511">
        <f>G69-0.2%</f>
        <v/>
      </c>
      <c r="H68" s="511">
        <f>H69-0.2%</f>
        <v/>
      </c>
      <c r="I68" s="511">
        <f>I69-0.2%</f>
        <v/>
      </c>
      <c r="J68" s="511">
        <f>J69-0.2%</f>
        <v/>
      </c>
      <c r="K68" s="94" t="n"/>
      <c r="L68" s="94" t="n"/>
    </row>
    <row r="69" ht="14.25" customHeight="1">
      <c r="A69" s="92" t="n"/>
      <c r="B69" s="143" t="inlineStr">
        <is>
          <t>Base</t>
        </is>
      </c>
      <c r="C69" s="101" t="n"/>
      <c r="D69" s="101" t="n"/>
      <c r="E69" s="512" t="n"/>
      <c r="F69" s="516">
        <f>AVERAGE(D67:E67)</f>
        <v/>
      </c>
      <c r="G69" s="522">
        <f>AVERAGE(F69,E67,D67)-0.1%</f>
        <v/>
      </c>
      <c r="H69" s="522">
        <f>AVERAGE(G69,F69,E67)-0.2%</f>
        <v/>
      </c>
      <c r="I69" s="522">
        <f>AVERAGE(F69:H69)-0.3%</f>
        <v/>
      </c>
      <c r="J69" s="522">
        <f>AVERAGE(G69:I69)-0.3%</f>
        <v/>
      </c>
      <c r="K69" s="94" t="n"/>
      <c r="L69" s="94" t="n"/>
    </row>
    <row r="70" ht="14.25" customHeight="1">
      <c r="A70" s="92" t="n"/>
      <c r="B70" s="144" t="inlineStr">
        <is>
          <t>Bull</t>
        </is>
      </c>
      <c r="C70" s="130" t="n"/>
      <c r="D70" s="130" t="n"/>
      <c r="E70" s="513" t="n"/>
      <c r="F70" s="514">
        <f>F69+0.2%</f>
        <v/>
      </c>
      <c r="G70" s="514">
        <f>G69+0.2%</f>
        <v/>
      </c>
      <c r="H70" s="514">
        <f>H69+0.2%</f>
        <v/>
      </c>
      <c r="I70" s="514">
        <f>I69+0.2%</f>
        <v/>
      </c>
      <c r="J70" s="514">
        <f>J69+0.2%</f>
        <v/>
      </c>
      <c r="K70" s="94" t="n"/>
      <c r="L70" s="94" t="n"/>
    </row>
    <row r="71" ht="13.5" customHeight="1">
      <c r="A71" s="94" t="n"/>
      <c r="B71" s="94" t="n"/>
      <c r="C71" s="94" t="n"/>
      <c r="D71" s="94" t="n"/>
      <c r="E71" s="314" t="n"/>
      <c r="F71" s="282" t="n"/>
      <c r="G71" s="94" t="n"/>
      <c r="H71" s="94" t="n"/>
      <c r="I71" s="94" t="n"/>
      <c r="J71" s="94" t="n"/>
      <c r="K71" s="94" t="n"/>
      <c r="L71" s="94" t="n"/>
    </row>
    <row r="72" ht="14.5" customFormat="1" customHeight="1" s="94">
      <c r="A72" s="92" t="n"/>
      <c r="B72" s="150" t="inlineStr">
        <is>
          <t>D&amp;A</t>
        </is>
      </c>
      <c r="C72" s="151" t="n"/>
      <c r="D72" s="151" t="n"/>
      <c r="E72" s="319" t="n"/>
      <c r="F72" s="293" t="n"/>
      <c r="G72" s="151" t="n"/>
      <c r="H72" s="151" t="n"/>
      <c r="I72" s="151" t="n"/>
      <c r="J72" s="151" t="n"/>
    </row>
    <row r="73" ht="13" customFormat="1" customHeight="1" s="94">
      <c r="B73" s="152" t="inlineStr">
        <is>
          <t>Total D&amp;A</t>
        </is>
      </c>
      <c r="C73" s="94">
        <f>'Income Statement + Forecast'!D54</f>
        <v/>
      </c>
      <c r="D73" s="94">
        <f>'Income Statement + Forecast'!E54</f>
        <v/>
      </c>
      <c r="E73" s="314">
        <f>'Income Statement + Forecast'!F54</f>
        <v/>
      </c>
      <c r="F73" s="531">
        <f>F79*F74</f>
        <v/>
      </c>
      <c r="G73" s="532">
        <f>G79*G74</f>
        <v/>
      </c>
      <c r="H73" s="532">
        <f>H79*H74</f>
        <v/>
      </c>
      <c r="I73" s="532">
        <f>I79*I74</f>
        <v/>
      </c>
      <c r="J73" s="532">
        <f>J79*J74</f>
        <v/>
      </c>
    </row>
    <row r="74" ht="14.25" customHeight="1">
      <c r="A74" s="92" t="n"/>
      <c r="B74" s="101" t="inlineStr">
        <is>
          <t>% PP&amp;E</t>
        </is>
      </c>
      <c r="C74" s="121">
        <f>C73/C79</f>
        <v/>
      </c>
      <c r="D74" s="121">
        <f>D73/D79</f>
        <v/>
      </c>
      <c r="E74" s="303">
        <f>E73/E79</f>
        <v/>
      </c>
      <c r="F74" s="287">
        <f>CHOOSE($C$5,F75,F76,F77)</f>
        <v/>
      </c>
      <c r="G74" s="121">
        <f>CHOOSE($C$5,G75,G76,G77)</f>
        <v/>
      </c>
      <c r="H74" s="121">
        <f>CHOOSE($C$5,H75,H76,H77)</f>
        <v/>
      </c>
      <c r="I74" s="121">
        <f>CHOOSE($C$5,I75,I76,I77)</f>
        <v/>
      </c>
      <c r="J74" s="121">
        <f>CHOOSE($C$5,J75,J76,J77)</f>
        <v/>
      </c>
      <c r="K74" s="94" t="n"/>
      <c r="L74" s="94" t="n"/>
    </row>
    <row r="75" ht="14.25" customHeight="1">
      <c r="A75" s="92" t="n"/>
      <c r="B75" s="142" t="inlineStr">
        <is>
          <t>Bear</t>
        </is>
      </c>
      <c r="C75" s="102" t="n"/>
      <c r="D75" s="102" t="n"/>
      <c r="E75" s="510" t="n"/>
      <c r="F75" s="511">
        <f>F76</f>
        <v/>
      </c>
      <c r="G75" s="511">
        <f>G76</f>
        <v/>
      </c>
      <c r="H75" s="511">
        <f>H76</f>
        <v/>
      </c>
      <c r="I75" s="511">
        <f>I76</f>
        <v/>
      </c>
      <c r="J75" s="511">
        <f>J76</f>
        <v/>
      </c>
      <c r="K75" s="94" t="n"/>
      <c r="L75" s="94" t="n"/>
    </row>
    <row r="76" ht="14.25" customHeight="1">
      <c r="A76" s="92" t="n"/>
      <c r="B76" s="143" t="inlineStr">
        <is>
          <t>Base</t>
        </is>
      </c>
      <c r="C76" s="101" t="n"/>
      <c r="D76" s="101" t="n"/>
      <c r="E76" s="512" t="n"/>
      <c r="F76" s="516">
        <f>AVERAGE(C74:E74)</f>
        <v/>
      </c>
      <c r="G76" s="522">
        <f>AVERAGE(F76,E74,D74)</f>
        <v/>
      </c>
      <c r="H76" s="522">
        <f>AVERAGE(G76,F76,E74)</f>
        <v/>
      </c>
      <c r="I76" s="522">
        <f>AVERAGE(F76:H76)</f>
        <v/>
      </c>
      <c r="J76" s="522">
        <f>AVERAGE(G76:I76)</f>
        <v/>
      </c>
      <c r="K76" s="94" t="n"/>
      <c r="L76" s="94" t="n"/>
    </row>
    <row r="77" ht="14.25" customHeight="1">
      <c r="A77" s="92" t="n"/>
      <c r="B77" s="144" t="inlineStr">
        <is>
          <t>Bull</t>
        </is>
      </c>
      <c r="C77" s="130" t="n"/>
      <c r="D77" s="130" t="n"/>
      <c r="E77" s="513" t="n"/>
      <c r="F77" s="514">
        <f>F76</f>
        <v/>
      </c>
      <c r="G77" s="514">
        <f>G76</f>
        <v/>
      </c>
      <c r="H77" s="514">
        <f>H76</f>
        <v/>
      </c>
      <c r="I77" s="514">
        <f>I76</f>
        <v/>
      </c>
      <c r="J77" s="514">
        <f>J76</f>
        <v/>
      </c>
      <c r="K77" s="94" t="n"/>
      <c r="L77" s="94" t="n"/>
    </row>
    <row r="78" ht="13.5" customHeight="1">
      <c r="A78" s="94" t="n"/>
      <c r="B78" s="94" t="n"/>
      <c r="C78" s="94" t="n"/>
      <c r="D78" s="94" t="n"/>
      <c r="E78" s="314" t="n"/>
      <c r="F78" s="282" t="n"/>
      <c r="G78" s="94" t="n"/>
      <c r="H78" s="94" t="n"/>
      <c r="I78" s="94" t="n"/>
      <c r="J78" s="94" t="n"/>
      <c r="K78" s="94" t="n"/>
      <c r="L78" s="94" t="n"/>
    </row>
    <row r="79" ht="13.5" customHeight="1">
      <c r="A79" s="94" t="n"/>
      <c r="B79" s="94" t="inlineStr">
        <is>
          <t>PP&amp;E</t>
        </is>
      </c>
      <c r="C79" s="94">
        <f>'Balance Sheet'!I37</f>
        <v/>
      </c>
      <c r="D79" s="94">
        <f>'Balance Sheet'!J37</f>
        <v/>
      </c>
      <c r="E79" s="314">
        <f>'Balance Sheet'!K37</f>
        <v/>
      </c>
      <c r="F79" s="531">
        <f>E79+F66</f>
        <v/>
      </c>
      <c r="G79" s="532">
        <f>F81+G66</f>
        <v/>
      </c>
      <c r="H79" s="532">
        <f>G81+H66</f>
        <v/>
      </c>
      <c r="I79" s="532">
        <f>H81+I66</f>
        <v/>
      </c>
      <c r="J79" s="532">
        <f>I81+J66</f>
        <v/>
      </c>
      <c r="K79" s="94" t="n"/>
      <c r="L79" s="94" t="n"/>
    </row>
    <row r="80" ht="13.5" customHeight="1">
      <c r="A80" s="94" t="n"/>
      <c r="B80" s="94" t="inlineStr">
        <is>
          <t>LEss: Depreciation</t>
        </is>
      </c>
      <c r="C80" s="94">
        <f>'Balance Sheet'!I37</f>
        <v/>
      </c>
      <c r="D80" s="94" t="n"/>
      <c r="E80" s="314" t="n"/>
      <c r="F80" s="531">
        <f>F73</f>
        <v/>
      </c>
      <c r="G80" s="532">
        <f>G73</f>
        <v/>
      </c>
      <c r="H80" s="532">
        <f>H73</f>
        <v/>
      </c>
      <c r="I80" s="532">
        <f>I73</f>
        <v/>
      </c>
      <c r="J80" s="532">
        <f>J73</f>
        <v/>
      </c>
      <c r="K80" s="94" t="n"/>
      <c r="L80" s="94" t="n"/>
    </row>
    <row r="81" ht="13.5" customHeight="1">
      <c r="A81" s="94" t="n"/>
      <c r="B81" s="94" t="inlineStr">
        <is>
          <t>EB: PP&amp;E</t>
        </is>
      </c>
      <c r="C81" s="94" t="n"/>
      <c r="D81" s="94" t="n"/>
      <c r="E81" s="314" t="n"/>
      <c r="F81" s="531">
        <f>F79-F80</f>
        <v/>
      </c>
      <c r="G81" s="532">
        <f>G79-G80</f>
        <v/>
      </c>
      <c r="H81" s="532">
        <f>H79-H80</f>
        <v/>
      </c>
      <c r="I81" s="532">
        <f>I79-I80</f>
        <v/>
      </c>
      <c r="J81" s="532">
        <f>J79-J80</f>
        <v/>
      </c>
      <c r="K81" s="94" t="n"/>
      <c r="L81" s="94" t="n"/>
    </row>
    <row r="82" ht="13.5" customHeight="1">
      <c r="A82" s="94" t="n"/>
      <c r="B82" s="94" t="n"/>
      <c r="C82" s="94" t="n"/>
      <c r="D82" s="94" t="n"/>
      <c r="E82" s="282" t="n"/>
      <c r="F82" s="282" t="n"/>
      <c r="H82" s="94" t="n"/>
      <c r="I82" s="94" t="n"/>
      <c r="J82" s="94" t="n"/>
      <c r="K82" s="94" t="n"/>
      <c r="L82" s="94" t="n"/>
    </row>
    <row r="83" ht="13.5" customHeight="1">
      <c r="A83" s="94" t="n"/>
      <c r="B83" s="94" t="n"/>
      <c r="C83" s="94" t="n"/>
      <c r="D83" s="94" t="n"/>
      <c r="E83" s="282" t="n"/>
      <c r="F83" s="282" t="n"/>
      <c r="G83" s="94" t="n"/>
      <c r="H83" s="94" t="n"/>
      <c r="I83" s="94" t="n"/>
      <c r="J83" s="94" t="n"/>
      <c r="K83" s="94" t="n"/>
      <c r="L83" s="94" t="n"/>
    </row>
    <row r="84" ht="13.5" customHeight="1">
      <c r="A84" s="94" t="n"/>
      <c r="B84" s="94" t="n"/>
      <c r="C84" s="94" t="n"/>
      <c r="D84" s="94" t="n"/>
      <c r="E84" s="282" t="n"/>
      <c r="F84" s="282" t="n"/>
      <c r="G84" s="94" t="n"/>
      <c r="H84" s="94" t="n"/>
      <c r="I84" s="94" t="n"/>
      <c r="J84" s="94" t="n"/>
      <c r="K84" s="94" t="n"/>
      <c r="L84" s="94" t="n"/>
    </row>
    <row r="85" ht="13.5" customHeight="1">
      <c r="A85" s="94" t="n"/>
      <c r="B85" s="94" t="n"/>
      <c r="C85" s="94" t="n"/>
      <c r="D85" s="94" t="n"/>
      <c r="E85" s="282" t="n"/>
      <c r="F85" s="282" t="n"/>
      <c r="G85" s="94" t="n"/>
      <c r="H85" s="94" t="n"/>
      <c r="I85" s="94" t="n"/>
      <c r="J85" s="94" t="n"/>
      <c r="K85" s="94" t="n"/>
      <c r="L85" s="94" t="n"/>
    </row>
    <row r="86" ht="13.5" customHeight="1">
      <c r="A86" s="94" t="n"/>
      <c r="B86" s="94" t="n"/>
      <c r="C86" s="94" t="n"/>
      <c r="D86" s="94" t="n"/>
      <c r="E86" s="282" t="n"/>
      <c r="F86" s="282" t="n"/>
      <c r="G86" s="94" t="n"/>
      <c r="H86" s="94" t="n"/>
      <c r="I86" s="94" t="n"/>
      <c r="J86" s="94" t="n"/>
      <c r="K86" s="94" t="n"/>
      <c r="L86" s="94" t="n"/>
    </row>
    <row r="87" ht="13.5" customHeight="1">
      <c r="A87" s="94" t="n"/>
      <c r="B87" s="94" t="n"/>
      <c r="C87" s="94" t="n"/>
      <c r="D87" s="94" t="n"/>
      <c r="E87" s="282" t="n"/>
      <c r="F87" s="282" t="n"/>
      <c r="G87" s="94" t="n"/>
      <c r="H87" s="94" t="n"/>
      <c r="I87" s="94" t="n"/>
      <c r="J87" s="94" t="n"/>
      <c r="K87" s="94" t="n"/>
      <c r="L87" s="94" t="n"/>
    </row>
    <row r="88" ht="13.5" customHeight="1">
      <c r="A88" s="94" t="n"/>
      <c r="B88" s="94" t="n"/>
      <c r="C88" s="94" t="n"/>
      <c r="D88" s="94" t="n"/>
      <c r="E88" s="282" t="n"/>
      <c r="F88" s="282" t="n"/>
      <c r="G88" s="94" t="n"/>
      <c r="H88" s="94" t="n"/>
      <c r="I88" s="94" t="n"/>
      <c r="J88" s="94" t="n"/>
      <c r="K88" s="94" t="n"/>
      <c r="L88" s="94" t="n"/>
    </row>
    <row r="89" ht="13.5" customHeight="1">
      <c r="A89" s="94" t="n"/>
      <c r="B89" s="94" t="n"/>
      <c r="C89" s="94" t="n"/>
      <c r="D89" s="94" t="n"/>
      <c r="E89" s="282" t="n"/>
      <c r="F89" s="282" t="n"/>
      <c r="G89" s="94" t="n"/>
      <c r="H89" s="94" t="n"/>
      <c r="I89" s="94" t="n"/>
      <c r="J89" s="94" t="n"/>
      <c r="K89" s="94" t="n"/>
      <c r="L89" s="94" t="n"/>
    </row>
    <row r="90" ht="13.5" customHeight="1">
      <c r="A90" s="94" t="n"/>
      <c r="B90" s="94" t="n"/>
      <c r="C90" s="94" t="n"/>
      <c r="D90" s="94" t="n"/>
      <c r="E90" s="282" t="n"/>
      <c r="F90" s="282" t="n"/>
      <c r="G90" s="94" t="n"/>
      <c r="H90" s="94" t="n"/>
      <c r="I90" s="94" t="n"/>
      <c r="J90" s="94" t="n"/>
      <c r="K90" s="94" t="n"/>
      <c r="L90" s="94" t="n"/>
    </row>
    <row r="91" ht="13.5" customHeight="1">
      <c r="A91" s="94" t="n"/>
      <c r="B91" s="94" t="n"/>
      <c r="C91" s="94" t="n"/>
      <c r="D91" s="94" t="n"/>
      <c r="E91" s="282" t="n"/>
      <c r="F91" s="282" t="n"/>
      <c r="G91" s="94" t="n"/>
      <c r="H91" s="94" t="n"/>
      <c r="I91" s="94" t="n"/>
      <c r="J91" s="94" t="n"/>
      <c r="K91" s="94" t="n"/>
      <c r="L91" s="94" t="n"/>
    </row>
    <row r="92" ht="13.5" customHeight="1">
      <c r="A92" s="94" t="n"/>
      <c r="B92" s="94" t="n"/>
      <c r="C92" s="94" t="n"/>
      <c r="D92" s="94" t="n"/>
      <c r="E92" s="282" t="n"/>
      <c r="F92" s="282" t="n"/>
      <c r="G92" s="94" t="n"/>
      <c r="H92" s="94" t="n"/>
      <c r="I92" s="94" t="n"/>
      <c r="J92" s="94" t="n"/>
      <c r="K92" s="94" t="n"/>
      <c r="L92" s="94" t="n"/>
    </row>
    <row r="93" ht="13.5" customHeight="1">
      <c r="A93" s="94" t="n"/>
      <c r="B93" s="94" t="n"/>
      <c r="C93" s="94" t="n"/>
      <c r="D93" s="94" t="n"/>
      <c r="E93" s="282" t="n"/>
      <c r="F93" s="282" t="n"/>
      <c r="G93" s="94" t="n"/>
      <c r="H93" s="94" t="n"/>
      <c r="I93" s="94" t="n"/>
      <c r="J93" s="94" t="n"/>
      <c r="K93" s="94" t="n"/>
      <c r="L93" s="94" t="n"/>
    </row>
    <row r="94" ht="13.5" customHeight="1">
      <c r="A94" s="94" t="n"/>
      <c r="B94" s="94" t="n"/>
      <c r="C94" s="94" t="n"/>
      <c r="D94" s="94" t="n"/>
      <c r="E94" s="282" t="n"/>
      <c r="F94" s="282" t="n"/>
      <c r="G94" s="94" t="n"/>
      <c r="H94" s="94" t="n"/>
      <c r="I94" s="94" t="n"/>
      <c r="J94" s="94" t="n"/>
      <c r="K94" s="94" t="n"/>
      <c r="L94" s="94" t="n"/>
    </row>
    <row r="95" ht="13.5" customHeight="1">
      <c r="A95" s="94" t="n"/>
      <c r="B95" s="94" t="n"/>
      <c r="C95" s="94" t="n"/>
      <c r="D95" s="94" t="n"/>
      <c r="E95" s="282" t="n"/>
      <c r="F95" s="282" t="n"/>
      <c r="G95" s="94" t="n"/>
      <c r="H95" s="94" t="n"/>
      <c r="I95" s="94" t="n"/>
      <c r="J95" s="94" t="n"/>
      <c r="K95" s="94" t="n"/>
      <c r="L95" s="94" t="n"/>
    </row>
    <row r="96" ht="13.5" customHeight="1">
      <c r="A96" s="94" t="n"/>
      <c r="B96" s="94" t="n"/>
      <c r="C96" s="94" t="n"/>
      <c r="D96" s="94" t="n"/>
      <c r="E96" s="282" t="n"/>
      <c r="F96" s="282" t="n"/>
      <c r="G96" s="94" t="n"/>
      <c r="H96" s="94" t="n"/>
      <c r="I96" s="94" t="n"/>
      <c r="J96" s="94" t="n"/>
      <c r="K96" s="94" t="n"/>
      <c r="L96" s="94" t="n"/>
    </row>
    <row r="97" ht="13.5" customHeight="1">
      <c r="A97" s="94" t="n"/>
      <c r="B97" s="94" t="n"/>
      <c r="C97" s="94" t="n"/>
      <c r="D97" s="94" t="n"/>
      <c r="E97" s="282" t="n"/>
      <c r="F97" s="282" t="n"/>
      <c r="G97" s="94" t="n"/>
      <c r="H97" s="94" t="n"/>
      <c r="I97" s="94" t="n"/>
      <c r="J97" s="94" t="n"/>
      <c r="K97" s="94" t="n"/>
      <c r="L97" s="94" t="n"/>
    </row>
    <row r="98" ht="13.5" customHeight="1">
      <c r="A98" s="94" t="n"/>
      <c r="B98" s="94" t="n"/>
      <c r="C98" s="94" t="n"/>
      <c r="D98" s="94" t="n"/>
      <c r="E98" s="282" t="n"/>
      <c r="F98" s="282" t="n"/>
      <c r="G98" s="94" t="n"/>
      <c r="H98" s="94" t="n"/>
      <c r="I98" s="94" t="n"/>
      <c r="J98" s="94" t="n"/>
      <c r="K98" s="94" t="n"/>
      <c r="L98" s="94" t="n"/>
    </row>
    <row r="99" ht="13.5" customHeight="1">
      <c r="A99" s="94" t="n"/>
      <c r="B99" s="94" t="n"/>
      <c r="C99" s="94" t="n"/>
      <c r="D99" s="94" t="n"/>
      <c r="E99" s="282" t="n"/>
      <c r="F99" s="282" t="n"/>
      <c r="G99" s="94" t="n"/>
      <c r="H99" s="94" t="n"/>
      <c r="I99" s="94" t="n"/>
      <c r="J99" s="94" t="n"/>
      <c r="K99" s="94" t="n"/>
      <c r="L99" s="94" t="n"/>
    </row>
    <row r="100" ht="13.5" customHeight="1">
      <c r="A100" s="94" t="n"/>
      <c r="B100" s="94" t="n"/>
      <c r="C100" s="94" t="n"/>
      <c r="D100" s="94" t="n"/>
      <c r="E100" s="282" t="n"/>
      <c r="F100" s="282" t="n"/>
      <c r="G100" s="94" t="n"/>
      <c r="H100" s="94" t="n"/>
      <c r="I100" s="94" t="n"/>
      <c r="J100" s="94" t="n"/>
      <c r="K100" s="94" t="n"/>
      <c r="L100" s="94" t="n"/>
    </row>
    <row r="101" ht="13.5" customHeight="1">
      <c r="A101" s="94" t="n"/>
      <c r="B101" s="94" t="n"/>
      <c r="C101" s="94" t="n"/>
      <c r="D101" s="94" t="n"/>
      <c r="E101" s="282" t="n"/>
      <c r="F101" s="282" t="n"/>
      <c r="G101" s="94" t="n"/>
      <c r="H101" s="94" t="n"/>
      <c r="I101" s="94" t="n"/>
      <c r="J101" s="94" t="n"/>
      <c r="K101" s="94" t="n"/>
      <c r="L101" s="94" t="n"/>
    </row>
    <row r="102" ht="13.5" customHeight="1">
      <c r="A102" s="94" t="n"/>
      <c r="B102" s="94" t="n"/>
      <c r="C102" s="94" t="n"/>
      <c r="D102" s="94" t="n"/>
      <c r="E102" s="282" t="n"/>
      <c r="F102" s="282" t="n"/>
      <c r="G102" s="94" t="n"/>
      <c r="H102" s="94" t="n"/>
      <c r="I102" s="94" t="n"/>
      <c r="J102" s="94" t="n"/>
      <c r="K102" s="94" t="n"/>
      <c r="L102" s="94" t="n"/>
    </row>
    <row r="103" ht="13.5" customHeight="1">
      <c r="A103" s="94" t="n"/>
      <c r="B103" s="94" t="n"/>
      <c r="C103" s="94" t="n"/>
      <c r="D103" s="94" t="n"/>
      <c r="E103" s="282" t="n"/>
      <c r="F103" s="282" t="n"/>
      <c r="G103" s="94" t="n"/>
      <c r="H103" s="94" t="n"/>
      <c r="I103" s="94" t="n"/>
      <c r="J103" s="94" t="n"/>
      <c r="K103" s="94" t="n"/>
      <c r="L103" s="94" t="n"/>
    </row>
    <row r="104" ht="13.5" customHeight="1">
      <c r="A104" s="94" t="n"/>
      <c r="B104" s="94" t="n"/>
      <c r="C104" s="94" t="n"/>
      <c r="D104" s="94" t="n"/>
      <c r="E104" s="282" t="n"/>
      <c r="F104" s="282" t="n"/>
      <c r="G104" s="94" t="n"/>
      <c r="H104" s="94" t="n"/>
      <c r="I104" s="94" t="n"/>
      <c r="J104" s="94" t="n"/>
      <c r="K104" s="94" t="n"/>
      <c r="L104" s="94" t="n"/>
    </row>
    <row r="105" ht="13.5" customHeight="1">
      <c r="A105" s="94" t="n"/>
      <c r="B105" s="94" t="n"/>
      <c r="C105" s="94" t="n"/>
      <c r="D105" s="94" t="n"/>
      <c r="E105" s="282" t="n"/>
      <c r="F105" s="282" t="n"/>
      <c r="G105" s="94" t="n"/>
      <c r="H105" s="94" t="n"/>
      <c r="I105" s="94" t="n"/>
      <c r="J105" s="94" t="n"/>
      <c r="K105" s="94" t="n"/>
      <c r="L105" s="94" t="n"/>
    </row>
    <row r="106" ht="13.5" customHeight="1">
      <c r="A106" s="94" t="n"/>
      <c r="B106" s="94" t="n"/>
      <c r="C106" s="94" t="n"/>
      <c r="D106" s="94" t="n"/>
      <c r="E106" s="282" t="n"/>
      <c r="F106" s="282" t="n"/>
      <c r="G106" s="94" t="n"/>
      <c r="H106" s="94" t="n"/>
      <c r="I106" s="94" t="n"/>
      <c r="J106" s="94" t="n"/>
      <c r="K106" s="94" t="n"/>
      <c r="L106" s="94" t="n"/>
    </row>
    <row r="107" ht="13.5" customHeight="1">
      <c r="A107" s="94" t="n"/>
      <c r="B107" s="94" t="n"/>
      <c r="C107" s="94" t="n"/>
      <c r="D107" s="94" t="n"/>
      <c r="E107" s="282" t="n"/>
      <c r="F107" s="282" t="n"/>
      <c r="G107" s="94" t="n"/>
      <c r="H107" s="94" t="n"/>
      <c r="I107" s="94" t="n"/>
      <c r="J107" s="94" t="n"/>
      <c r="K107" s="94" t="n"/>
      <c r="L107" s="94" t="n"/>
    </row>
    <row r="108" ht="13.5" customHeight="1">
      <c r="A108" s="94" t="n"/>
      <c r="B108" s="94" t="n"/>
      <c r="C108" s="94" t="n"/>
      <c r="D108" s="94" t="n"/>
      <c r="E108" s="282" t="n"/>
      <c r="F108" s="282" t="n"/>
      <c r="G108" s="94" t="n"/>
      <c r="H108" s="94" t="n"/>
      <c r="I108" s="94" t="n"/>
      <c r="J108" s="94" t="n"/>
      <c r="K108" s="94" t="n"/>
      <c r="L108" s="94" t="n"/>
    </row>
    <row r="109" ht="13.5" customHeight="1">
      <c r="A109" s="94" t="n"/>
      <c r="B109" s="94" t="n"/>
      <c r="C109" s="94" t="n"/>
      <c r="D109" s="94" t="n"/>
      <c r="E109" s="282" t="n"/>
      <c r="F109" s="282" t="n"/>
      <c r="G109" s="94" t="n"/>
      <c r="H109" s="94" t="n"/>
      <c r="I109" s="94" t="n"/>
      <c r="J109" s="94" t="n"/>
      <c r="K109" s="94" t="n"/>
      <c r="L109" s="94" t="n"/>
    </row>
    <row r="110" ht="13.5" customHeight="1">
      <c r="A110" s="94" t="n"/>
      <c r="B110" s="94" t="n"/>
      <c r="C110" s="94" t="n"/>
      <c r="D110" s="94" t="n"/>
      <c r="E110" s="282" t="n"/>
      <c r="F110" s="282" t="n"/>
      <c r="G110" s="94" t="n"/>
      <c r="H110" s="94" t="n"/>
      <c r="I110" s="94" t="n"/>
      <c r="J110" s="94" t="n"/>
      <c r="K110" s="94" t="n"/>
      <c r="L110" s="94" t="n"/>
    </row>
    <row r="111" ht="13.5" customHeight="1">
      <c r="A111" s="94" t="n"/>
      <c r="B111" s="94" t="n"/>
      <c r="C111" s="94" t="n"/>
      <c r="D111" s="94" t="n"/>
      <c r="E111" s="282" t="n"/>
      <c r="F111" s="282" t="n"/>
      <c r="G111" s="94" t="n"/>
      <c r="H111" s="94" t="n"/>
      <c r="I111" s="94" t="n"/>
      <c r="J111" s="94" t="n"/>
      <c r="K111" s="94" t="n"/>
      <c r="L111" s="94" t="n"/>
    </row>
    <row r="112" ht="13.5" customHeight="1">
      <c r="A112" s="94" t="n"/>
      <c r="B112" s="94" t="n"/>
      <c r="C112" s="94" t="n"/>
      <c r="D112" s="94" t="n"/>
      <c r="E112" s="282" t="n"/>
      <c r="F112" s="282" t="n"/>
      <c r="G112" s="94" t="n"/>
      <c r="H112" s="94" t="n"/>
      <c r="I112" s="94" t="n"/>
      <c r="J112" s="94" t="n"/>
      <c r="K112" s="94" t="n"/>
      <c r="L112" s="94" t="n"/>
    </row>
    <row r="113" ht="13.5" customHeight="1">
      <c r="A113" s="94" t="n"/>
      <c r="B113" s="94" t="n"/>
      <c r="C113" s="94" t="n"/>
      <c r="D113" s="94" t="n"/>
      <c r="E113" s="282" t="n"/>
      <c r="F113" s="282" t="n"/>
      <c r="G113" s="94" t="n"/>
      <c r="H113" s="94" t="n"/>
      <c r="I113" s="94" t="n"/>
      <c r="J113" s="94" t="n"/>
      <c r="K113" s="94" t="n"/>
      <c r="L113" s="94" t="n"/>
    </row>
    <row r="114" ht="13.5" customHeight="1">
      <c r="A114" s="94" t="n"/>
      <c r="B114" s="94" t="n"/>
      <c r="C114" s="94" t="n"/>
      <c r="D114" s="94" t="n"/>
      <c r="E114" s="282" t="n"/>
      <c r="F114" s="282" t="n"/>
      <c r="G114" s="94" t="n"/>
      <c r="H114" s="94" t="n"/>
      <c r="I114" s="94" t="n"/>
      <c r="J114" s="94" t="n"/>
      <c r="K114" s="94" t="n"/>
      <c r="L114" s="94" t="n"/>
    </row>
    <row r="115" ht="13.5" customHeight="1">
      <c r="A115" s="94" t="n"/>
      <c r="B115" s="94" t="n"/>
      <c r="C115" s="94" t="n"/>
      <c r="D115" s="94" t="n"/>
      <c r="E115" s="282" t="n"/>
      <c r="F115" s="282" t="n"/>
      <c r="G115" s="94" t="n"/>
      <c r="H115" s="94" t="n"/>
      <c r="I115" s="94" t="n"/>
      <c r="J115" s="94" t="n"/>
      <c r="K115" s="94" t="n"/>
      <c r="L115" s="94" t="n"/>
    </row>
    <row r="116" ht="13.5" customHeight="1">
      <c r="A116" s="94" t="n"/>
      <c r="B116" s="94" t="n"/>
      <c r="C116" s="94" t="n"/>
      <c r="D116" s="94" t="n"/>
      <c r="E116" s="282" t="n"/>
      <c r="F116" s="282" t="n"/>
      <c r="G116" s="94" t="n"/>
      <c r="H116" s="94" t="n"/>
      <c r="I116" s="94" t="n"/>
      <c r="J116" s="94" t="n"/>
      <c r="K116" s="94" t="n"/>
      <c r="L116" s="94" t="n"/>
    </row>
    <row r="117" ht="13.5" customHeight="1">
      <c r="A117" s="94" t="n"/>
      <c r="B117" s="94" t="n"/>
      <c r="C117" s="94" t="n"/>
      <c r="D117" s="94" t="n"/>
      <c r="E117" s="282" t="n"/>
      <c r="F117" s="282" t="n"/>
      <c r="G117" s="94" t="n"/>
      <c r="H117" s="94" t="n"/>
      <c r="I117" s="94" t="n"/>
      <c r="J117" s="94" t="n"/>
      <c r="K117" s="94" t="n"/>
      <c r="L117" s="94" t="n"/>
    </row>
    <row r="118" ht="13.5" customHeight="1">
      <c r="A118" s="94" t="n"/>
      <c r="B118" s="94" t="n"/>
      <c r="C118" s="94" t="n"/>
      <c r="D118" s="94" t="n"/>
      <c r="E118" s="282" t="n"/>
      <c r="F118" s="282" t="n"/>
      <c r="G118" s="94" t="n"/>
      <c r="H118" s="94" t="n"/>
      <c r="I118" s="94" t="n"/>
      <c r="J118" s="94" t="n"/>
      <c r="K118" s="94" t="n"/>
      <c r="L118" s="94" t="n"/>
    </row>
    <row r="119" ht="13.5" customHeight="1">
      <c r="A119" s="94" t="n"/>
      <c r="B119" s="94" t="n"/>
      <c r="C119" s="94" t="n"/>
      <c r="D119" s="94" t="n"/>
      <c r="E119" s="282" t="n"/>
      <c r="F119" s="282" t="n"/>
      <c r="G119" s="94" t="n"/>
      <c r="H119" s="94" t="n"/>
      <c r="I119" s="94" t="n"/>
      <c r="J119" s="94" t="n"/>
      <c r="K119" s="94" t="n"/>
      <c r="L119" s="94" t="n"/>
    </row>
    <row r="120" ht="13.5" customHeight="1">
      <c r="A120" s="94" t="n"/>
      <c r="B120" s="94" t="n"/>
      <c r="C120" s="94" t="n"/>
      <c r="D120" s="94" t="n"/>
      <c r="E120" s="282" t="n"/>
      <c r="F120" s="282" t="n"/>
      <c r="G120" s="94" t="n"/>
      <c r="H120" s="94" t="n"/>
      <c r="I120" s="94" t="n"/>
      <c r="J120" s="94" t="n"/>
      <c r="K120" s="94" t="n"/>
      <c r="L120" s="94" t="n"/>
    </row>
    <row r="121" ht="13.5" customHeight="1">
      <c r="A121" s="94" t="n"/>
      <c r="B121" s="94" t="n"/>
      <c r="C121" s="94" t="n"/>
      <c r="D121" s="94" t="n"/>
      <c r="E121" s="282" t="n"/>
      <c r="F121" s="282" t="n"/>
      <c r="G121" s="94" t="n"/>
      <c r="H121" s="94" t="n"/>
      <c r="I121" s="94" t="n"/>
      <c r="J121" s="94" t="n"/>
      <c r="K121" s="94" t="n"/>
      <c r="L121" s="94" t="n"/>
    </row>
    <row r="122" ht="13.5" customHeight="1">
      <c r="A122" s="94" t="n"/>
      <c r="B122" s="94" t="n"/>
      <c r="C122" s="94" t="n"/>
      <c r="D122" s="94" t="n"/>
      <c r="E122" s="282" t="n"/>
      <c r="F122" s="282" t="n"/>
      <c r="G122" s="94" t="n"/>
      <c r="H122" s="94" t="n"/>
      <c r="I122" s="94" t="n"/>
      <c r="J122" s="94" t="n"/>
      <c r="K122" s="94" t="n"/>
      <c r="L122" s="94" t="n"/>
    </row>
    <row r="123" ht="13.5" customHeight="1">
      <c r="A123" s="94" t="n"/>
      <c r="B123" s="94" t="n"/>
      <c r="C123" s="94" t="n"/>
      <c r="D123" s="94" t="n"/>
      <c r="E123" s="282" t="n"/>
      <c r="F123" s="282" t="n"/>
      <c r="G123" s="94" t="n"/>
      <c r="H123" s="94" t="n"/>
      <c r="I123" s="94" t="n"/>
      <c r="J123" s="94" t="n"/>
      <c r="K123" s="94" t="n"/>
      <c r="L123" s="94" t="n"/>
    </row>
    <row r="124" ht="13.5" customHeight="1">
      <c r="A124" s="94" t="n"/>
      <c r="B124" s="94" t="n"/>
      <c r="C124" s="94" t="n"/>
      <c r="D124" s="94" t="n"/>
      <c r="E124" s="282" t="n"/>
      <c r="F124" s="282" t="n"/>
      <c r="G124" s="94" t="n"/>
      <c r="H124" s="94" t="n"/>
      <c r="I124" s="94" t="n"/>
      <c r="J124" s="94" t="n"/>
      <c r="K124" s="94" t="n"/>
      <c r="L124" s="94" t="n"/>
    </row>
    <row r="125" ht="13.5" customHeight="1">
      <c r="A125" s="94" t="n"/>
      <c r="B125" s="94" t="n"/>
      <c r="C125" s="94" t="n"/>
      <c r="D125" s="94" t="n"/>
      <c r="E125" s="282" t="n"/>
      <c r="F125" s="282" t="n"/>
      <c r="G125" s="94" t="n"/>
      <c r="H125" s="94" t="n"/>
      <c r="I125" s="94" t="n"/>
      <c r="J125" s="94" t="n"/>
      <c r="K125" s="94" t="n"/>
      <c r="L125" s="94" t="n"/>
    </row>
    <row r="126" ht="13.5" customHeight="1">
      <c r="A126" s="94" t="n"/>
      <c r="B126" s="94" t="n"/>
      <c r="C126" s="94" t="n"/>
      <c r="D126" s="94" t="n"/>
      <c r="E126" s="282" t="n"/>
      <c r="F126" s="282" t="n"/>
      <c r="G126" s="94" t="n"/>
      <c r="H126" s="94" t="n"/>
      <c r="I126" s="94" t="n"/>
      <c r="J126" s="94" t="n"/>
      <c r="K126" s="94" t="n"/>
      <c r="L126" s="94" t="n"/>
    </row>
    <row r="127" ht="13.5" customHeight="1">
      <c r="A127" s="94" t="n"/>
      <c r="B127" s="94" t="n"/>
      <c r="C127" s="94" t="n"/>
      <c r="D127" s="94" t="n"/>
      <c r="E127" s="282" t="n"/>
      <c r="F127" s="282" t="n"/>
      <c r="G127" s="94" t="n"/>
      <c r="H127" s="94" t="n"/>
      <c r="I127" s="94" t="n"/>
      <c r="J127" s="94" t="n"/>
      <c r="K127" s="94" t="n"/>
      <c r="L127" s="94" t="n"/>
    </row>
    <row r="128" ht="13.5" customHeight="1">
      <c r="A128" s="94" t="n"/>
      <c r="B128" s="94" t="n"/>
      <c r="C128" s="94" t="n"/>
      <c r="D128" s="94" t="n"/>
      <c r="E128" s="282" t="n"/>
      <c r="F128" s="282" t="n"/>
      <c r="G128" s="94" t="n"/>
      <c r="H128" s="94" t="n"/>
      <c r="I128" s="94" t="n"/>
      <c r="J128" s="94" t="n"/>
      <c r="K128" s="94" t="n"/>
      <c r="L128" s="94" t="n"/>
    </row>
    <row r="129" ht="13.5" customHeight="1">
      <c r="A129" s="94" t="n"/>
      <c r="B129" s="94" t="n"/>
      <c r="C129" s="94" t="n"/>
      <c r="D129" s="94" t="n"/>
      <c r="E129" s="282" t="n"/>
      <c r="F129" s="282" t="n"/>
      <c r="G129" s="94" t="n"/>
      <c r="H129" s="94" t="n"/>
      <c r="I129" s="94" t="n"/>
      <c r="J129" s="94" t="n"/>
      <c r="K129" s="94" t="n"/>
      <c r="L129" s="94" t="n"/>
    </row>
    <row r="130" ht="13.5" customHeight="1">
      <c r="A130" s="94" t="n"/>
      <c r="B130" s="94" t="n"/>
      <c r="C130" s="94" t="n"/>
      <c r="D130" s="94" t="n"/>
      <c r="E130" s="282" t="n"/>
      <c r="F130" s="282" t="n"/>
      <c r="G130" s="94" t="n"/>
      <c r="H130" s="94" t="n"/>
      <c r="I130" s="94" t="n"/>
      <c r="J130" s="94" t="n"/>
      <c r="K130" s="94" t="n"/>
      <c r="L130" s="94" t="n"/>
    </row>
    <row r="131" ht="13.5" customHeight="1">
      <c r="A131" s="94" t="n"/>
      <c r="B131" s="94" t="n"/>
      <c r="C131" s="94" t="n"/>
      <c r="D131" s="94" t="n"/>
      <c r="E131" s="282" t="n"/>
      <c r="F131" s="282" t="n"/>
      <c r="G131" s="94" t="n"/>
      <c r="H131" s="94" t="n"/>
      <c r="I131" s="94" t="n"/>
      <c r="J131" s="94" t="n"/>
      <c r="K131" s="94" t="n"/>
      <c r="L131" s="94" t="n"/>
    </row>
    <row r="132" ht="13.5" customHeight="1">
      <c r="A132" s="94" t="n"/>
      <c r="B132" s="94" t="n"/>
      <c r="C132" s="94" t="n"/>
      <c r="D132" s="94" t="n"/>
      <c r="E132" s="282" t="n"/>
      <c r="F132" s="282" t="n"/>
      <c r="G132" s="94" t="n"/>
      <c r="H132" s="94" t="n"/>
      <c r="I132" s="94" t="n"/>
      <c r="J132" s="94" t="n"/>
      <c r="K132" s="94" t="n"/>
      <c r="L132" s="94" t="n"/>
    </row>
    <row r="133" ht="13.5" customHeight="1">
      <c r="A133" s="94" t="n"/>
      <c r="B133" s="94" t="n"/>
      <c r="C133" s="94" t="n"/>
      <c r="D133" s="94" t="n"/>
      <c r="E133" s="282" t="n"/>
      <c r="F133" s="282" t="n"/>
      <c r="G133" s="94" t="n"/>
      <c r="H133" s="94" t="n"/>
      <c r="I133" s="94" t="n"/>
      <c r="J133" s="94" t="n"/>
      <c r="K133" s="94" t="n"/>
      <c r="L133" s="94" t="n"/>
    </row>
    <row r="134" ht="13.5" customHeight="1">
      <c r="A134" s="94" t="n"/>
      <c r="B134" s="94" t="n"/>
      <c r="C134" s="94" t="n"/>
      <c r="D134" s="94" t="n"/>
      <c r="E134" s="282" t="n"/>
      <c r="F134" s="282" t="n"/>
      <c r="G134" s="94" t="n"/>
      <c r="H134" s="94" t="n"/>
      <c r="I134" s="94" t="n"/>
      <c r="J134" s="94" t="n"/>
      <c r="K134" s="94" t="n"/>
      <c r="L134" s="94" t="n"/>
    </row>
    <row r="135" ht="13.5" customHeight="1">
      <c r="A135" s="94" t="n"/>
      <c r="B135" s="94" t="n"/>
      <c r="C135" s="94" t="n"/>
      <c r="D135" s="94" t="n"/>
      <c r="E135" s="282" t="n"/>
      <c r="F135" s="282" t="n"/>
      <c r="G135" s="94" t="n"/>
      <c r="H135" s="94" t="n"/>
      <c r="I135" s="94" t="n"/>
      <c r="J135" s="94" t="n"/>
      <c r="K135" s="94" t="n"/>
      <c r="L135" s="94" t="n"/>
    </row>
    <row r="136" ht="13.5" customHeight="1">
      <c r="A136" s="94" t="n"/>
      <c r="B136" s="94" t="n"/>
      <c r="C136" s="94" t="n"/>
      <c r="D136" s="94" t="n"/>
      <c r="E136" s="282" t="n"/>
      <c r="F136" s="282" t="n"/>
      <c r="G136" s="94" t="n"/>
      <c r="H136" s="94" t="n"/>
      <c r="I136" s="94" t="n"/>
      <c r="J136" s="94" t="n"/>
      <c r="K136" s="94" t="n"/>
      <c r="L136" s="94" t="n"/>
    </row>
    <row r="137" ht="13.5" customHeight="1">
      <c r="A137" s="94" t="n"/>
      <c r="B137" s="94" t="n"/>
      <c r="C137" s="94" t="n"/>
      <c r="D137" s="94" t="n"/>
      <c r="E137" s="282" t="n"/>
      <c r="F137" s="282" t="n"/>
      <c r="G137" s="94" t="n"/>
      <c r="H137" s="94" t="n"/>
      <c r="I137" s="94" t="n"/>
      <c r="J137" s="94" t="n"/>
      <c r="K137" s="94" t="n"/>
      <c r="L137" s="94" t="n"/>
    </row>
    <row r="138" ht="13.5" customHeight="1">
      <c r="A138" s="94" t="n"/>
      <c r="B138" s="94" t="n"/>
      <c r="C138" s="94" t="n"/>
      <c r="D138" s="94" t="n"/>
      <c r="E138" s="282" t="n"/>
      <c r="F138" s="282" t="n"/>
      <c r="G138" s="94" t="n"/>
      <c r="H138" s="94" t="n"/>
      <c r="I138" s="94" t="n"/>
      <c r="J138" s="94" t="n"/>
      <c r="K138" s="94" t="n"/>
      <c r="L138" s="94" t="n"/>
    </row>
    <row r="139" ht="13.5" customHeight="1">
      <c r="A139" s="94" t="n"/>
      <c r="B139" s="94" t="n"/>
      <c r="C139" s="94" t="n"/>
      <c r="D139" s="94" t="n"/>
      <c r="E139" s="282" t="n"/>
      <c r="F139" s="282" t="n"/>
      <c r="G139" s="94" t="n"/>
      <c r="H139" s="94" t="n"/>
      <c r="I139" s="94" t="n"/>
      <c r="J139" s="94" t="n"/>
      <c r="K139" s="94" t="n"/>
      <c r="L139" s="94" t="n"/>
    </row>
    <row r="140" ht="13.5" customHeight="1">
      <c r="A140" s="94" t="n"/>
      <c r="B140" s="94" t="n"/>
      <c r="C140" s="94" t="n"/>
      <c r="D140" s="94" t="n"/>
      <c r="E140" s="282" t="n"/>
      <c r="F140" s="282" t="n"/>
      <c r="G140" s="94" t="n"/>
      <c r="H140" s="94" t="n"/>
      <c r="I140" s="94" t="n"/>
      <c r="J140" s="94" t="n"/>
      <c r="K140" s="94" t="n"/>
      <c r="L140" s="94" t="n"/>
    </row>
    <row r="141" ht="13.5" customHeight="1">
      <c r="A141" s="94" t="n"/>
      <c r="B141" s="94" t="n"/>
      <c r="C141" s="94" t="n"/>
      <c r="D141" s="94" t="n"/>
      <c r="E141" s="282" t="n"/>
      <c r="F141" s="282" t="n"/>
      <c r="G141" s="94" t="n"/>
      <c r="H141" s="94" t="n"/>
      <c r="I141" s="94" t="n"/>
      <c r="J141" s="94" t="n"/>
      <c r="K141" s="94" t="n"/>
      <c r="L141" s="94" t="n"/>
    </row>
    <row r="142" ht="13.5" customHeight="1">
      <c r="A142" s="94" t="n"/>
      <c r="B142" s="94" t="n"/>
      <c r="C142" s="94" t="n"/>
      <c r="D142" s="94" t="n"/>
      <c r="E142" s="282" t="n"/>
      <c r="F142" s="282" t="n"/>
      <c r="G142" s="94" t="n"/>
      <c r="H142" s="94" t="n"/>
      <c r="I142" s="94" t="n"/>
      <c r="J142" s="94" t="n"/>
      <c r="K142" s="94" t="n"/>
      <c r="L142" s="94" t="n"/>
    </row>
    <row r="143" ht="13.5" customHeight="1">
      <c r="A143" s="94" t="n"/>
      <c r="B143" s="94" t="n"/>
      <c r="C143" s="94" t="n"/>
      <c r="D143" s="94" t="n"/>
      <c r="E143" s="282" t="n"/>
      <c r="F143" s="282" t="n"/>
      <c r="G143" s="94" t="n"/>
      <c r="H143" s="94" t="n"/>
      <c r="I143" s="94" t="n"/>
      <c r="J143" s="94" t="n"/>
      <c r="K143" s="94" t="n"/>
      <c r="L143" s="94" t="n"/>
    </row>
    <row r="144" ht="13.5" customHeight="1">
      <c r="A144" s="94" t="n"/>
      <c r="B144" s="94" t="n"/>
      <c r="C144" s="94" t="n"/>
      <c r="D144" s="94" t="n"/>
      <c r="E144" s="282" t="n"/>
      <c r="F144" s="282" t="n"/>
      <c r="G144" s="94" t="n"/>
      <c r="H144" s="94" t="n"/>
      <c r="I144" s="94" t="n"/>
      <c r="J144" s="94" t="n"/>
      <c r="K144" s="94" t="n"/>
      <c r="L144" s="94" t="n"/>
    </row>
    <row r="145" ht="13.5" customHeight="1">
      <c r="A145" s="94" t="n"/>
      <c r="B145" s="94" t="n"/>
      <c r="C145" s="94" t="n"/>
      <c r="D145" s="94" t="n"/>
      <c r="E145" s="282" t="n"/>
      <c r="F145" s="282" t="n"/>
      <c r="G145" s="94" t="n"/>
      <c r="H145" s="94" t="n"/>
      <c r="I145" s="94" t="n"/>
      <c r="J145" s="94" t="n"/>
      <c r="K145" s="94" t="n"/>
      <c r="L145" s="94" t="n"/>
    </row>
    <row r="146" ht="13.5" customHeight="1">
      <c r="A146" s="94" t="n"/>
      <c r="B146" s="94" t="n"/>
      <c r="C146" s="94" t="n"/>
      <c r="D146" s="94" t="n"/>
      <c r="E146" s="282" t="n"/>
      <c r="F146" s="282" t="n"/>
      <c r="G146" s="94" t="n"/>
      <c r="H146" s="94" t="n"/>
      <c r="I146" s="94" t="n"/>
      <c r="J146" s="94" t="n"/>
      <c r="K146" s="94" t="n"/>
      <c r="L146" s="94" t="n"/>
    </row>
    <row r="147" ht="13.5" customHeight="1">
      <c r="A147" s="94" t="n"/>
      <c r="B147" s="94" t="n"/>
      <c r="C147" s="94" t="n"/>
      <c r="D147" s="94" t="n"/>
      <c r="E147" s="282" t="n"/>
      <c r="F147" s="282" t="n"/>
      <c r="G147" s="94" t="n"/>
      <c r="H147" s="94" t="n"/>
      <c r="I147" s="94" t="n"/>
      <c r="J147" s="94" t="n"/>
      <c r="K147" s="94" t="n"/>
      <c r="L147" s="94" t="n"/>
    </row>
    <row r="148" ht="13.5" customHeight="1">
      <c r="A148" s="94" t="n"/>
      <c r="B148" s="94" t="n"/>
      <c r="C148" s="94" t="n"/>
      <c r="D148" s="94" t="n"/>
      <c r="E148" s="282" t="n"/>
      <c r="F148" s="282" t="n"/>
      <c r="G148" s="94" t="n"/>
      <c r="H148" s="94" t="n"/>
      <c r="I148" s="94" t="n"/>
      <c r="J148" s="94" t="n"/>
      <c r="K148" s="94" t="n"/>
      <c r="L148" s="94" t="n"/>
    </row>
    <row r="149" ht="13.5" customHeight="1">
      <c r="A149" s="94" t="n"/>
      <c r="B149" s="94" t="n"/>
      <c r="C149" s="94" t="n"/>
      <c r="D149" s="94" t="n"/>
      <c r="E149" s="282" t="n"/>
      <c r="F149" s="282" t="n"/>
      <c r="G149" s="94" t="n"/>
      <c r="H149" s="94" t="n"/>
      <c r="I149" s="94" t="n"/>
      <c r="J149" s="94" t="n"/>
      <c r="K149" s="94" t="n"/>
      <c r="L149" s="94" t="n"/>
    </row>
    <row r="150" ht="13.5" customHeight="1">
      <c r="A150" s="94" t="n"/>
      <c r="B150" s="94" t="n"/>
      <c r="C150" s="94" t="n"/>
      <c r="D150" s="94" t="n"/>
      <c r="E150" s="282" t="n"/>
      <c r="F150" s="282" t="n"/>
      <c r="G150" s="94" t="n"/>
      <c r="H150" s="94" t="n"/>
      <c r="I150" s="94" t="n"/>
      <c r="J150" s="94" t="n"/>
      <c r="K150" s="94" t="n"/>
      <c r="L150" s="94" t="n"/>
    </row>
    <row r="151" ht="13.5" customHeight="1">
      <c r="A151" s="94" t="n"/>
      <c r="B151" s="94" t="n"/>
      <c r="C151" s="94" t="n"/>
      <c r="D151" s="94" t="n"/>
      <c r="E151" s="282" t="n"/>
      <c r="F151" s="282" t="n"/>
      <c r="G151" s="94" t="n"/>
      <c r="H151" s="94" t="n"/>
      <c r="I151" s="94" t="n"/>
      <c r="J151" s="94" t="n"/>
      <c r="K151" s="94" t="n"/>
      <c r="L151" s="94" t="n"/>
    </row>
    <row r="152" ht="13.5" customHeight="1">
      <c r="A152" s="94" t="n"/>
      <c r="B152" s="94" t="n"/>
      <c r="C152" s="94" t="n"/>
      <c r="D152" s="94" t="n"/>
      <c r="E152" s="282" t="n"/>
      <c r="F152" s="282" t="n"/>
      <c r="G152" s="94" t="n"/>
      <c r="H152" s="94" t="n"/>
      <c r="I152" s="94" t="n"/>
      <c r="J152" s="94" t="n"/>
      <c r="K152" s="94" t="n"/>
      <c r="L152" s="94" t="n"/>
    </row>
    <row r="153" ht="13.5" customHeight="1">
      <c r="A153" s="94" t="n"/>
      <c r="B153" s="94" t="n"/>
      <c r="C153" s="94" t="n"/>
      <c r="D153" s="94" t="n"/>
      <c r="E153" s="282" t="n"/>
      <c r="F153" s="282" t="n"/>
      <c r="G153" s="94" t="n"/>
      <c r="H153" s="94" t="n"/>
      <c r="I153" s="94" t="n"/>
      <c r="J153" s="94" t="n"/>
      <c r="K153" s="94" t="n"/>
      <c r="L153" s="94" t="n"/>
    </row>
    <row r="154" ht="13.5" customHeight="1">
      <c r="A154" s="94" t="n"/>
      <c r="B154" s="94" t="n"/>
      <c r="C154" s="94" t="n"/>
      <c r="D154" s="94" t="n"/>
      <c r="E154" s="282" t="n"/>
      <c r="F154" s="282" t="n"/>
      <c r="G154" s="94" t="n"/>
      <c r="H154" s="94" t="n"/>
      <c r="I154" s="94" t="n"/>
      <c r="J154" s="94" t="n"/>
      <c r="K154" s="94" t="n"/>
      <c r="L154" s="94" t="n"/>
    </row>
    <row r="155" ht="13.5" customHeight="1">
      <c r="A155" s="94" t="n"/>
      <c r="B155" s="94" t="n"/>
      <c r="C155" s="94" t="n"/>
      <c r="D155" s="94" t="n"/>
      <c r="E155" s="282" t="n"/>
      <c r="F155" s="282" t="n"/>
      <c r="G155" s="94" t="n"/>
      <c r="H155" s="94" t="n"/>
      <c r="I155" s="94" t="n"/>
      <c r="J155" s="94" t="n"/>
      <c r="K155" s="94" t="n"/>
      <c r="L155" s="94" t="n"/>
    </row>
    <row r="156" ht="13.5" customHeight="1">
      <c r="A156" s="94" t="n"/>
      <c r="B156" s="94" t="n"/>
      <c r="C156" s="94" t="n"/>
      <c r="D156" s="94" t="n"/>
      <c r="E156" s="282" t="n"/>
      <c r="F156" s="282" t="n"/>
      <c r="G156" s="94" t="n"/>
      <c r="H156" s="94" t="n"/>
      <c r="I156" s="94" t="n"/>
      <c r="J156" s="94" t="n"/>
      <c r="K156" s="94" t="n"/>
      <c r="L156" s="94" t="n"/>
    </row>
    <row r="157" ht="13.5" customHeight="1">
      <c r="A157" s="94" t="n"/>
      <c r="B157" s="94" t="n"/>
      <c r="C157" s="94" t="n"/>
      <c r="D157" s="94" t="n"/>
      <c r="E157" s="282" t="n"/>
      <c r="F157" s="282" t="n"/>
      <c r="G157" s="94" t="n"/>
      <c r="H157" s="94" t="n"/>
      <c r="I157" s="94" t="n"/>
      <c r="J157" s="94" t="n"/>
      <c r="K157" s="94" t="n"/>
      <c r="L157" s="94" t="n"/>
    </row>
    <row r="158" ht="13.5" customHeight="1">
      <c r="A158" s="94" t="n"/>
      <c r="B158" s="94" t="n"/>
      <c r="C158" s="94" t="n"/>
      <c r="D158" s="94" t="n"/>
      <c r="E158" s="282" t="n"/>
      <c r="F158" s="282" t="n"/>
      <c r="G158" s="94" t="n"/>
      <c r="H158" s="94" t="n"/>
      <c r="I158" s="94" t="n"/>
      <c r="J158" s="94" t="n"/>
      <c r="K158" s="94" t="n"/>
      <c r="L158" s="94" t="n"/>
    </row>
    <row r="159" ht="13.5" customHeight="1">
      <c r="A159" s="94" t="n"/>
      <c r="B159" s="94" t="n"/>
      <c r="C159" s="94" t="n"/>
      <c r="D159" s="94" t="n"/>
      <c r="E159" s="282" t="n"/>
      <c r="F159" s="282" t="n"/>
      <c r="G159" s="94" t="n"/>
      <c r="H159" s="94" t="n"/>
      <c r="I159" s="94" t="n"/>
      <c r="J159" s="94" t="n"/>
      <c r="K159" s="94" t="n"/>
      <c r="L159" s="94" t="n"/>
    </row>
    <row r="160" ht="13.5" customHeight="1">
      <c r="A160" s="94" t="n"/>
      <c r="B160" s="94" t="n"/>
      <c r="C160" s="94" t="n"/>
      <c r="D160" s="94" t="n"/>
      <c r="E160" s="282" t="n"/>
      <c r="F160" s="282" t="n"/>
      <c r="G160" s="94" t="n"/>
      <c r="H160" s="94" t="n"/>
      <c r="I160" s="94" t="n"/>
      <c r="J160" s="94" t="n"/>
      <c r="K160" s="94" t="n"/>
      <c r="L160" s="94" t="n"/>
    </row>
    <row r="161" ht="13.5" customHeight="1">
      <c r="A161" s="94" t="n"/>
      <c r="B161" s="94" t="n"/>
      <c r="C161" s="94" t="n"/>
      <c r="D161" s="94" t="n"/>
      <c r="E161" s="282" t="n"/>
      <c r="F161" s="282" t="n"/>
      <c r="G161" s="94" t="n"/>
      <c r="H161" s="94" t="n"/>
      <c r="I161" s="94" t="n"/>
      <c r="J161" s="94" t="n"/>
      <c r="K161" s="94" t="n"/>
      <c r="L161" s="94" t="n"/>
    </row>
    <row r="162" ht="13.5" customHeight="1">
      <c r="A162" s="94" t="n"/>
      <c r="B162" s="94" t="n"/>
      <c r="C162" s="94" t="n"/>
      <c r="D162" s="94" t="n"/>
      <c r="E162" s="282" t="n"/>
      <c r="F162" s="282" t="n"/>
      <c r="G162" s="94" t="n"/>
      <c r="H162" s="94" t="n"/>
      <c r="I162" s="94" t="n"/>
      <c r="J162" s="94" t="n"/>
      <c r="K162" s="94" t="n"/>
      <c r="L162" s="94" t="n"/>
    </row>
    <row r="163" ht="13.5" customHeight="1">
      <c r="A163" s="94" t="n"/>
      <c r="B163" s="94" t="n"/>
      <c r="C163" s="94" t="n"/>
      <c r="D163" s="94" t="n"/>
      <c r="E163" s="282" t="n"/>
      <c r="F163" s="282" t="n"/>
      <c r="G163" s="94" t="n"/>
      <c r="H163" s="94" t="n"/>
      <c r="I163" s="94" t="n"/>
      <c r="J163" s="94" t="n"/>
      <c r="K163" s="94" t="n"/>
      <c r="L163" s="94" t="n"/>
    </row>
    <row r="164" ht="13.5" customHeight="1">
      <c r="A164" s="94" t="n"/>
      <c r="B164" s="94" t="n"/>
      <c r="C164" s="94" t="n"/>
      <c r="D164" s="94" t="n"/>
      <c r="E164" s="282" t="n"/>
      <c r="F164" s="282" t="n"/>
      <c r="G164" s="94" t="n"/>
      <c r="H164" s="94" t="n"/>
      <c r="I164" s="94" t="n"/>
      <c r="J164" s="94" t="n"/>
      <c r="K164" s="94" t="n"/>
      <c r="L164" s="94" t="n"/>
    </row>
    <row r="165" ht="13.5" customHeight="1">
      <c r="A165" s="94" t="n"/>
      <c r="B165" s="94" t="n"/>
      <c r="C165" s="94" t="n"/>
      <c r="D165" s="94" t="n"/>
      <c r="E165" s="282" t="n"/>
      <c r="F165" s="282" t="n"/>
      <c r="G165" s="94" t="n"/>
      <c r="H165" s="94" t="n"/>
      <c r="I165" s="94" t="n"/>
      <c r="J165" s="94" t="n"/>
      <c r="K165" s="94" t="n"/>
      <c r="L165" s="94" t="n"/>
    </row>
    <row r="166" ht="13.5" customHeight="1">
      <c r="A166" s="94" t="n"/>
      <c r="B166" s="94" t="n"/>
      <c r="C166" s="94" t="n"/>
      <c r="D166" s="94" t="n"/>
      <c r="E166" s="282" t="n"/>
      <c r="F166" s="282" t="n"/>
      <c r="G166" s="94" t="n"/>
      <c r="H166" s="94" t="n"/>
      <c r="I166" s="94" t="n"/>
      <c r="J166" s="94" t="n"/>
      <c r="K166" s="94" t="n"/>
      <c r="L166" s="94" t="n"/>
    </row>
    <row r="167" ht="13.5" customHeight="1">
      <c r="A167" s="94" t="n"/>
      <c r="B167" s="94" t="n"/>
      <c r="C167" s="94" t="n"/>
      <c r="D167" s="94" t="n"/>
      <c r="E167" s="282" t="n"/>
      <c r="F167" s="282" t="n"/>
      <c r="G167" s="94" t="n"/>
      <c r="H167" s="94" t="n"/>
      <c r="I167" s="94" t="n"/>
      <c r="J167" s="94" t="n"/>
      <c r="K167" s="94" t="n"/>
      <c r="L167" s="94" t="n"/>
    </row>
    <row r="168" ht="13.5" customHeight="1">
      <c r="A168" s="94" t="n"/>
      <c r="B168" s="94" t="n"/>
      <c r="C168" s="94" t="n"/>
      <c r="D168" s="94" t="n"/>
      <c r="E168" s="282" t="n"/>
      <c r="F168" s="282" t="n"/>
      <c r="G168" s="94" t="n"/>
      <c r="H168" s="94" t="n"/>
      <c r="I168" s="94" t="n"/>
      <c r="J168" s="94" t="n"/>
      <c r="K168" s="94" t="n"/>
      <c r="L168" s="94" t="n"/>
    </row>
    <row r="169" ht="13.5" customHeight="1">
      <c r="A169" s="94" t="n"/>
      <c r="B169" s="94" t="n"/>
      <c r="C169" s="94" t="n"/>
      <c r="D169" s="94" t="n"/>
      <c r="E169" s="282" t="n"/>
      <c r="F169" s="282" t="n"/>
      <c r="G169" s="94" t="n"/>
      <c r="H169" s="94" t="n"/>
      <c r="I169" s="94" t="n"/>
      <c r="J169" s="94" t="n"/>
      <c r="K169" s="94" t="n"/>
      <c r="L169" s="94" t="n"/>
    </row>
    <row r="170" ht="13.5" customHeight="1">
      <c r="A170" s="94" t="n"/>
      <c r="B170" s="94" t="n"/>
      <c r="C170" s="94" t="n"/>
      <c r="D170" s="94" t="n"/>
      <c r="E170" s="282" t="n"/>
      <c r="F170" s="282" t="n"/>
      <c r="G170" s="94" t="n"/>
      <c r="H170" s="94" t="n"/>
      <c r="I170" s="94" t="n"/>
      <c r="J170" s="94" t="n"/>
      <c r="K170" s="94" t="n"/>
      <c r="L170" s="94" t="n"/>
    </row>
    <row r="171" ht="13.5" customHeight="1">
      <c r="A171" s="94" t="n"/>
      <c r="B171" s="94" t="n"/>
      <c r="C171" s="94" t="n"/>
      <c r="D171" s="94" t="n"/>
      <c r="E171" s="282" t="n"/>
      <c r="F171" s="282" t="n"/>
      <c r="G171" s="94" t="n"/>
      <c r="H171" s="94" t="n"/>
      <c r="I171" s="94" t="n"/>
      <c r="J171" s="94" t="n"/>
      <c r="K171" s="94" t="n"/>
      <c r="L171" s="94" t="n"/>
    </row>
    <row r="172" ht="13.5" customHeight="1">
      <c r="A172" s="94" t="n"/>
      <c r="B172" s="94" t="n"/>
      <c r="C172" s="94" t="n"/>
      <c r="D172" s="94" t="n"/>
      <c r="E172" s="282" t="n"/>
      <c r="F172" s="282" t="n"/>
      <c r="G172" s="94" t="n"/>
      <c r="H172" s="94" t="n"/>
      <c r="I172" s="94" t="n"/>
      <c r="J172" s="94" t="n"/>
      <c r="K172" s="94" t="n"/>
      <c r="L172" s="94" t="n"/>
    </row>
    <row r="173" ht="13.5" customHeight="1">
      <c r="A173" s="94" t="n"/>
      <c r="B173" s="94" t="n"/>
      <c r="C173" s="94" t="n"/>
      <c r="D173" s="94" t="n"/>
      <c r="E173" s="282" t="n"/>
      <c r="F173" s="282" t="n"/>
      <c r="G173" s="94" t="n"/>
      <c r="H173" s="94" t="n"/>
      <c r="I173" s="94" t="n"/>
      <c r="J173" s="94" t="n"/>
      <c r="K173" s="94" t="n"/>
      <c r="L173" s="94" t="n"/>
    </row>
    <row r="174" ht="13.5" customHeight="1">
      <c r="A174" s="94" t="n"/>
      <c r="B174" s="94" t="n"/>
      <c r="C174" s="94" t="n"/>
      <c r="D174" s="94" t="n"/>
      <c r="E174" s="282" t="n"/>
      <c r="F174" s="282" t="n"/>
      <c r="G174" s="94" t="n"/>
      <c r="H174" s="94" t="n"/>
      <c r="I174" s="94" t="n"/>
      <c r="J174" s="94" t="n"/>
      <c r="K174" s="94" t="n"/>
      <c r="L174" s="94" t="n"/>
    </row>
    <row r="175" ht="13.5" customHeight="1">
      <c r="A175" s="94" t="n"/>
      <c r="B175" s="94" t="n"/>
      <c r="C175" s="94" t="n"/>
      <c r="D175" s="94" t="n"/>
      <c r="E175" s="282" t="n"/>
      <c r="F175" s="282" t="n"/>
      <c r="G175" s="94" t="n"/>
      <c r="H175" s="94" t="n"/>
      <c r="I175" s="94" t="n"/>
      <c r="J175" s="94" t="n"/>
      <c r="K175" s="94" t="n"/>
      <c r="L175" s="94" t="n"/>
    </row>
    <row r="176" ht="13.5" customHeight="1">
      <c r="A176" s="94" t="n"/>
      <c r="B176" s="94" t="n"/>
      <c r="C176" s="94" t="n"/>
      <c r="D176" s="94" t="n"/>
      <c r="E176" s="282" t="n"/>
      <c r="F176" s="282" t="n"/>
      <c r="G176" s="94" t="n"/>
      <c r="H176" s="94" t="n"/>
      <c r="I176" s="94" t="n"/>
      <c r="J176" s="94" t="n"/>
      <c r="K176" s="94" t="n"/>
      <c r="L176" s="94" t="n"/>
    </row>
    <row r="177" ht="13.5" customHeight="1">
      <c r="A177" s="94" t="n"/>
      <c r="B177" s="94" t="n"/>
      <c r="C177" s="94" t="n"/>
      <c r="D177" s="94" t="n"/>
      <c r="E177" s="282" t="n"/>
      <c r="F177" s="282" t="n"/>
      <c r="G177" s="94" t="n"/>
      <c r="H177" s="94" t="n"/>
      <c r="I177" s="94" t="n"/>
      <c r="J177" s="94" t="n"/>
      <c r="K177" s="94" t="n"/>
      <c r="L177" s="94" t="n"/>
    </row>
    <row r="178" ht="13.5" customHeight="1">
      <c r="A178" s="94" t="n"/>
      <c r="B178" s="94" t="n"/>
      <c r="C178" s="94" t="n"/>
      <c r="D178" s="94" t="n"/>
      <c r="E178" s="282" t="n"/>
      <c r="F178" s="282" t="n"/>
      <c r="G178" s="94" t="n"/>
      <c r="H178" s="94" t="n"/>
      <c r="I178" s="94" t="n"/>
      <c r="J178" s="94" t="n"/>
      <c r="K178" s="94" t="n"/>
      <c r="L178" s="94" t="n"/>
    </row>
    <row r="179" ht="13.5" customHeight="1">
      <c r="A179" s="94" t="n"/>
      <c r="B179" s="94" t="n"/>
      <c r="C179" s="94" t="n"/>
      <c r="D179" s="94" t="n"/>
      <c r="E179" s="282" t="n"/>
      <c r="F179" s="282" t="n"/>
      <c r="G179" s="94" t="n"/>
      <c r="H179" s="94" t="n"/>
      <c r="I179" s="94" t="n"/>
      <c r="J179" s="94" t="n"/>
      <c r="K179" s="94" t="n"/>
      <c r="L179" s="94" t="n"/>
    </row>
    <row r="180" ht="13.5" customHeight="1">
      <c r="A180" s="94" t="n"/>
      <c r="B180" s="94" t="n"/>
      <c r="C180" s="94" t="n"/>
      <c r="D180" s="94" t="n"/>
      <c r="E180" s="282" t="n"/>
      <c r="F180" s="282" t="n"/>
      <c r="G180" s="94" t="n"/>
      <c r="H180" s="94" t="n"/>
      <c r="I180" s="94" t="n"/>
      <c r="J180" s="94" t="n"/>
      <c r="K180" s="94" t="n"/>
      <c r="L180" s="94" t="n"/>
    </row>
    <row r="181" ht="13.5" customHeight="1">
      <c r="A181" s="94" t="n"/>
      <c r="B181" s="94" t="n"/>
      <c r="C181" s="94" t="n"/>
      <c r="D181" s="94" t="n"/>
      <c r="E181" s="282" t="n"/>
      <c r="F181" s="282" t="n"/>
      <c r="G181" s="94" t="n"/>
      <c r="H181" s="94" t="n"/>
      <c r="I181" s="94" t="n"/>
      <c r="J181" s="94" t="n"/>
      <c r="K181" s="94" t="n"/>
      <c r="L181" s="94" t="n"/>
    </row>
    <row r="182" ht="13.5" customHeight="1">
      <c r="A182" s="94" t="n"/>
      <c r="B182" s="94" t="n"/>
      <c r="C182" s="94" t="n"/>
      <c r="D182" s="94" t="n"/>
      <c r="E182" s="282" t="n"/>
      <c r="F182" s="282" t="n"/>
      <c r="G182" s="94" t="n"/>
      <c r="H182" s="94" t="n"/>
      <c r="I182" s="94" t="n"/>
      <c r="J182" s="94" t="n"/>
      <c r="K182" s="94" t="n"/>
      <c r="L182" s="94" t="n"/>
    </row>
    <row r="183" ht="13.5" customHeight="1">
      <c r="A183" s="94" t="n"/>
      <c r="B183" s="94" t="n"/>
      <c r="C183" s="94" t="n"/>
      <c r="D183" s="94" t="n"/>
      <c r="E183" s="282" t="n"/>
      <c r="F183" s="282" t="n"/>
      <c r="G183" s="94" t="n"/>
      <c r="H183" s="94" t="n"/>
      <c r="I183" s="94" t="n"/>
      <c r="J183" s="94" t="n"/>
      <c r="K183" s="94" t="n"/>
      <c r="L183" s="94" t="n"/>
    </row>
    <row r="184" ht="13.5" customHeight="1">
      <c r="A184" s="94" t="n"/>
      <c r="B184" s="94" t="n"/>
      <c r="C184" s="94" t="n"/>
      <c r="D184" s="94" t="n"/>
      <c r="E184" s="282" t="n"/>
      <c r="F184" s="282" t="n"/>
      <c r="G184" s="94" t="n"/>
      <c r="H184" s="94" t="n"/>
      <c r="I184" s="94" t="n"/>
      <c r="J184" s="94" t="n"/>
      <c r="K184" s="94" t="n"/>
      <c r="L184" s="94" t="n"/>
    </row>
    <row r="185" ht="13.5" customHeight="1">
      <c r="A185" s="94" t="n"/>
      <c r="B185" s="94" t="n"/>
      <c r="C185" s="94" t="n"/>
      <c r="D185" s="94" t="n"/>
      <c r="E185" s="282" t="n"/>
      <c r="F185" s="282" t="n"/>
      <c r="G185" s="94" t="n"/>
      <c r="H185" s="94" t="n"/>
      <c r="I185" s="94" t="n"/>
      <c r="J185" s="94" t="n"/>
      <c r="K185" s="94" t="n"/>
      <c r="L185" s="94" t="n"/>
    </row>
    <row r="186" ht="13.5" customHeight="1">
      <c r="A186" s="94" t="n"/>
      <c r="B186" s="94" t="n"/>
      <c r="C186" s="94" t="n"/>
      <c r="D186" s="94" t="n"/>
      <c r="E186" s="282" t="n"/>
      <c r="F186" s="282" t="n"/>
      <c r="G186" s="94" t="n"/>
      <c r="H186" s="94" t="n"/>
      <c r="I186" s="94" t="n"/>
      <c r="J186" s="94" t="n"/>
      <c r="K186" s="94" t="n"/>
      <c r="L186" s="94" t="n"/>
    </row>
    <row r="187" ht="13.5" customHeight="1">
      <c r="A187" s="94" t="n"/>
      <c r="B187" s="94" t="n"/>
      <c r="C187" s="94" t="n"/>
      <c r="D187" s="94" t="n"/>
      <c r="E187" s="282" t="n"/>
      <c r="F187" s="282" t="n"/>
      <c r="G187" s="94" t="n"/>
      <c r="H187" s="94" t="n"/>
      <c r="I187" s="94" t="n"/>
      <c r="J187" s="94" t="n"/>
      <c r="K187" s="94" t="n"/>
      <c r="L187" s="94" t="n"/>
    </row>
    <row r="188" ht="13.5" customHeight="1">
      <c r="A188" s="94" t="n"/>
      <c r="B188" s="94" t="n"/>
      <c r="C188" s="94" t="n"/>
      <c r="D188" s="94" t="n"/>
      <c r="E188" s="282" t="n"/>
      <c r="F188" s="282" t="n"/>
      <c r="G188" s="94" t="n"/>
      <c r="H188" s="94" t="n"/>
      <c r="I188" s="94" t="n"/>
      <c r="J188" s="94" t="n"/>
      <c r="K188" s="94" t="n"/>
      <c r="L188" s="94" t="n"/>
    </row>
    <row r="189" ht="13.5" customHeight="1">
      <c r="A189" s="94" t="n"/>
      <c r="B189" s="94" t="n"/>
      <c r="C189" s="94" t="n"/>
      <c r="D189" s="94" t="n"/>
      <c r="E189" s="282" t="n"/>
      <c r="F189" s="282" t="n"/>
      <c r="G189" s="94" t="n"/>
      <c r="H189" s="94" t="n"/>
      <c r="I189" s="94" t="n"/>
      <c r="J189" s="94" t="n"/>
      <c r="K189" s="94" t="n"/>
      <c r="L189" s="94" t="n"/>
    </row>
    <row r="190" ht="13.5" customHeight="1">
      <c r="A190" s="94" t="n"/>
      <c r="B190" s="94" t="n"/>
      <c r="C190" s="94" t="n"/>
      <c r="D190" s="94" t="n"/>
      <c r="E190" s="282" t="n"/>
      <c r="F190" s="282" t="n"/>
      <c r="G190" s="94" t="n"/>
      <c r="H190" s="94" t="n"/>
      <c r="I190" s="94" t="n"/>
      <c r="J190" s="94" t="n"/>
      <c r="K190" s="94" t="n"/>
      <c r="L190" s="94" t="n"/>
    </row>
    <row r="191" ht="13.5" customHeight="1">
      <c r="A191" s="94" t="n"/>
      <c r="B191" s="94" t="n"/>
      <c r="C191" s="94" t="n"/>
      <c r="D191" s="94" t="n"/>
      <c r="E191" s="282" t="n"/>
      <c r="F191" s="282" t="n"/>
      <c r="G191" s="94" t="n"/>
      <c r="H191" s="94" t="n"/>
      <c r="I191" s="94" t="n"/>
      <c r="J191" s="94" t="n"/>
      <c r="K191" s="94" t="n"/>
      <c r="L191" s="94" t="n"/>
    </row>
    <row r="192" ht="13.5" customHeight="1">
      <c r="A192" s="94" t="n"/>
      <c r="B192" s="94" t="n"/>
      <c r="C192" s="94" t="n"/>
      <c r="D192" s="94" t="n"/>
      <c r="E192" s="282" t="n"/>
      <c r="F192" s="282" t="n"/>
      <c r="G192" s="94" t="n"/>
      <c r="H192" s="94" t="n"/>
      <c r="I192" s="94" t="n"/>
      <c r="J192" s="94" t="n"/>
      <c r="K192" s="94" t="n"/>
      <c r="L192" s="94" t="n"/>
    </row>
    <row r="193" ht="13.5" customHeight="1">
      <c r="A193" s="94" t="n"/>
      <c r="B193" s="94" t="n"/>
      <c r="C193" s="94" t="n"/>
      <c r="D193" s="94" t="n"/>
      <c r="E193" s="282" t="n"/>
      <c r="F193" s="282" t="n"/>
      <c r="G193" s="94" t="n"/>
      <c r="H193" s="94" t="n"/>
      <c r="I193" s="94" t="n"/>
      <c r="J193" s="94" t="n"/>
      <c r="K193" s="94" t="n"/>
      <c r="L193" s="94" t="n"/>
    </row>
    <row r="194" ht="13.5" customHeight="1">
      <c r="A194" s="94" t="n"/>
      <c r="B194" s="94" t="n"/>
      <c r="C194" s="94" t="n"/>
      <c r="D194" s="94" t="n"/>
      <c r="E194" s="282" t="n"/>
      <c r="F194" s="282" t="n"/>
      <c r="G194" s="94" t="n"/>
      <c r="H194" s="94" t="n"/>
      <c r="I194" s="94" t="n"/>
      <c r="J194" s="94" t="n"/>
      <c r="K194" s="94" t="n"/>
      <c r="L194" s="94" t="n"/>
    </row>
    <row r="195" ht="13.5" customHeight="1">
      <c r="A195" s="94" t="n"/>
      <c r="B195" s="94" t="n"/>
      <c r="C195" s="94" t="n"/>
      <c r="D195" s="94" t="n"/>
      <c r="E195" s="282" t="n"/>
      <c r="F195" s="282" t="n"/>
      <c r="G195" s="94" t="n"/>
      <c r="H195" s="94" t="n"/>
      <c r="I195" s="94" t="n"/>
      <c r="J195" s="94" t="n"/>
      <c r="K195" s="94" t="n"/>
      <c r="L195" s="94" t="n"/>
    </row>
    <row r="196" ht="13.5" customHeight="1">
      <c r="A196" s="94" t="n"/>
      <c r="B196" s="94" t="n"/>
      <c r="C196" s="94" t="n"/>
      <c r="D196" s="94" t="n"/>
      <c r="E196" s="282" t="n"/>
      <c r="F196" s="282" t="n"/>
      <c r="G196" s="94" t="n"/>
      <c r="H196" s="94" t="n"/>
      <c r="I196" s="94" t="n"/>
      <c r="J196" s="94" t="n"/>
      <c r="K196" s="94" t="n"/>
      <c r="L196" s="94" t="n"/>
    </row>
    <row r="197" ht="13.5" customHeight="1">
      <c r="A197" s="94" t="n"/>
      <c r="B197" s="94" t="n"/>
      <c r="C197" s="94" t="n"/>
      <c r="D197" s="94" t="n"/>
      <c r="E197" s="282" t="n"/>
      <c r="F197" s="282" t="n"/>
      <c r="G197" s="94" t="n"/>
      <c r="H197" s="94" t="n"/>
      <c r="I197" s="94" t="n"/>
      <c r="J197" s="94" t="n"/>
      <c r="K197" s="94" t="n"/>
      <c r="L197" s="94" t="n"/>
    </row>
    <row r="198" ht="13.5" customHeight="1">
      <c r="A198" s="94" t="n"/>
      <c r="B198" s="94" t="n"/>
      <c r="C198" s="94" t="n"/>
      <c r="D198" s="94" t="n"/>
      <c r="E198" s="282" t="n"/>
      <c r="F198" s="282" t="n"/>
      <c r="G198" s="94" t="n"/>
      <c r="H198" s="94" t="n"/>
      <c r="I198" s="94" t="n"/>
      <c r="J198" s="94" t="n"/>
      <c r="K198" s="94" t="n"/>
      <c r="L198" s="94" t="n"/>
    </row>
    <row r="199" ht="13.5" customHeight="1">
      <c r="A199" s="94" t="n"/>
      <c r="B199" s="94" t="n"/>
      <c r="C199" s="94" t="n"/>
      <c r="D199" s="94" t="n"/>
      <c r="E199" s="282" t="n"/>
      <c r="F199" s="282" t="n"/>
      <c r="G199" s="94" t="n"/>
      <c r="H199" s="94" t="n"/>
      <c r="I199" s="94" t="n"/>
      <c r="J199" s="94" t="n"/>
      <c r="K199" s="94" t="n"/>
      <c r="L199" s="94" t="n"/>
    </row>
    <row r="200" ht="13.5" customHeight="1">
      <c r="A200" s="94" t="n"/>
      <c r="B200" s="94" t="n"/>
      <c r="C200" s="94" t="n"/>
      <c r="D200" s="94" t="n"/>
      <c r="E200" s="282" t="n"/>
      <c r="F200" s="282" t="n"/>
      <c r="G200" s="94" t="n"/>
      <c r="H200" s="94" t="n"/>
      <c r="I200" s="94" t="n"/>
      <c r="J200" s="94" t="n"/>
      <c r="K200" s="94" t="n"/>
      <c r="L200" s="94" t="n"/>
    </row>
    <row r="201" ht="13.5" customHeight="1">
      <c r="A201" s="94" t="n"/>
      <c r="B201" s="94" t="n"/>
      <c r="C201" s="94" t="n"/>
      <c r="D201" s="94" t="n"/>
      <c r="E201" s="282" t="n"/>
      <c r="F201" s="282" t="n"/>
      <c r="G201" s="94" t="n"/>
      <c r="H201" s="94" t="n"/>
      <c r="I201" s="94" t="n"/>
      <c r="J201" s="94" t="n"/>
      <c r="K201" s="94" t="n"/>
      <c r="L201" s="94" t="n"/>
    </row>
    <row r="202" ht="13.5" customHeight="1">
      <c r="A202" s="94" t="n"/>
      <c r="B202" s="94" t="n"/>
      <c r="C202" s="94" t="n"/>
      <c r="D202" s="94" t="n"/>
      <c r="E202" s="282" t="n"/>
      <c r="F202" s="282" t="n"/>
      <c r="G202" s="94" t="n"/>
      <c r="H202" s="94" t="n"/>
      <c r="I202" s="94" t="n"/>
      <c r="J202" s="94" t="n"/>
      <c r="K202" s="94" t="n"/>
      <c r="L202" s="94" t="n"/>
    </row>
    <row r="203" ht="13.5" customHeight="1">
      <c r="A203" s="94" t="n"/>
      <c r="B203" s="94" t="n"/>
      <c r="C203" s="94" t="n"/>
      <c r="D203" s="94" t="n"/>
      <c r="E203" s="282" t="n"/>
      <c r="F203" s="282" t="n"/>
      <c r="G203" s="94" t="n"/>
      <c r="H203" s="94" t="n"/>
      <c r="I203" s="94" t="n"/>
      <c r="J203" s="94" t="n"/>
      <c r="K203" s="94" t="n"/>
      <c r="L203" s="94" t="n"/>
    </row>
    <row r="204" ht="13.5" customHeight="1">
      <c r="A204" s="94" t="n"/>
      <c r="B204" s="94" t="n"/>
      <c r="C204" s="94" t="n"/>
      <c r="D204" s="94" t="n"/>
      <c r="E204" s="282" t="n"/>
      <c r="F204" s="282" t="n"/>
      <c r="G204" s="94" t="n"/>
      <c r="H204" s="94" t="n"/>
      <c r="I204" s="94" t="n"/>
      <c r="J204" s="94" t="n"/>
      <c r="K204" s="94" t="n"/>
      <c r="L204" s="94" t="n"/>
    </row>
    <row r="205" ht="13.5" customHeight="1">
      <c r="A205" s="94" t="n"/>
      <c r="B205" s="94" t="n"/>
      <c r="C205" s="94" t="n"/>
      <c r="D205" s="94" t="n"/>
      <c r="E205" s="282" t="n"/>
      <c r="F205" s="282" t="n"/>
      <c r="G205" s="94" t="n"/>
      <c r="H205" s="94" t="n"/>
      <c r="I205" s="94" t="n"/>
      <c r="J205" s="94" t="n"/>
      <c r="K205" s="94" t="n"/>
      <c r="L205" s="94" t="n"/>
    </row>
    <row r="206" ht="13.5" customHeight="1">
      <c r="A206" s="94" t="n"/>
      <c r="B206" s="94" t="n"/>
      <c r="C206" s="94" t="n"/>
      <c r="D206" s="94" t="n"/>
      <c r="E206" s="282" t="n"/>
      <c r="F206" s="282" t="n"/>
      <c r="G206" s="94" t="n"/>
      <c r="H206" s="94" t="n"/>
      <c r="I206" s="94" t="n"/>
      <c r="J206" s="94" t="n"/>
      <c r="K206" s="94" t="n"/>
      <c r="L206" s="94" t="n"/>
    </row>
    <row r="207" ht="13.5" customHeight="1">
      <c r="A207" s="94" t="n"/>
      <c r="B207" s="94" t="n"/>
      <c r="C207" s="94" t="n"/>
      <c r="D207" s="94" t="n"/>
      <c r="E207" s="282" t="n"/>
      <c r="F207" s="282" t="n"/>
      <c r="G207" s="94" t="n"/>
      <c r="H207" s="94" t="n"/>
      <c r="I207" s="94" t="n"/>
      <c r="J207" s="94" t="n"/>
      <c r="K207" s="94" t="n"/>
      <c r="L207" s="94" t="n"/>
    </row>
    <row r="208" ht="13.5" customHeight="1">
      <c r="A208" s="94" t="n"/>
      <c r="B208" s="94" t="n"/>
      <c r="C208" s="94" t="n"/>
      <c r="D208" s="94" t="n"/>
      <c r="E208" s="282" t="n"/>
      <c r="F208" s="282" t="n"/>
      <c r="G208" s="94" t="n"/>
      <c r="H208" s="94" t="n"/>
      <c r="I208" s="94" t="n"/>
      <c r="J208" s="94" t="n"/>
      <c r="K208" s="94" t="n"/>
      <c r="L208" s="94" t="n"/>
    </row>
    <row r="209" ht="13.5" customHeight="1">
      <c r="A209" s="94" t="n"/>
      <c r="B209" s="94" t="n"/>
      <c r="C209" s="94" t="n"/>
      <c r="D209" s="94" t="n"/>
      <c r="E209" s="282" t="n"/>
      <c r="F209" s="282" t="n"/>
      <c r="G209" s="94" t="n"/>
      <c r="H209" s="94" t="n"/>
      <c r="I209" s="94" t="n"/>
      <c r="J209" s="94" t="n"/>
      <c r="K209" s="94" t="n"/>
      <c r="L209" s="94" t="n"/>
    </row>
    <row r="210" ht="13.5" customHeight="1">
      <c r="A210" s="94" t="n"/>
      <c r="B210" s="94" t="n"/>
      <c r="C210" s="94" t="n"/>
      <c r="D210" s="94" t="n"/>
      <c r="E210" s="282" t="n"/>
      <c r="F210" s="282" t="n"/>
      <c r="G210" s="94" t="n"/>
      <c r="H210" s="94" t="n"/>
      <c r="I210" s="94" t="n"/>
      <c r="J210" s="94" t="n"/>
      <c r="K210" s="94" t="n"/>
      <c r="L210" s="94" t="n"/>
    </row>
    <row r="211" ht="13.5" customHeight="1">
      <c r="A211" s="94" t="n"/>
      <c r="B211" s="94" t="n"/>
      <c r="C211" s="94" t="n"/>
      <c r="D211" s="94" t="n"/>
      <c r="E211" s="282" t="n"/>
      <c r="F211" s="282" t="n"/>
      <c r="G211" s="94" t="n"/>
      <c r="H211" s="94" t="n"/>
      <c r="I211" s="94" t="n"/>
      <c r="J211" s="94" t="n"/>
      <c r="K211" s="94" t="n"/>
      <c r="L211" s="94" t="n"/>
    </row>
    <row r="212" ht="13.5" customHeight="1">
      <c r="A212" s="94" t="n"/>
      <c r="B212" s="94" t="n"/>
      <c r="C212" s="94" t="n"/>
      <c r="D212" s="94" t="n"/>
      <c r="E212" s="282" t="n"/>
      <c r="F212" s="282" t="n"/>
      <c r="G212" s="94" t="n"/>
      <c r="H212" s="94" t="n"/>
      <c r="I212" s="94" t="n"/>
      <c r="J212" s="94" t="n"/>
      <c r="K212" s="94" t="n"/>
      <c r="L212" s="94" t="n"/>
    </row>
    <row r="213" ht="13.5" customHeight="1">
      <c r="A213" s="94" t="n"/>
      <c r="B213" s="94" t="n"/>
      <c r="C213" s="94" t="n"/>
      <c r="D213" s="94" t="n"/>
      <c r="E213" s="282" t="n"/>
      <c r="F213" s="282" t="n"/>
      <c r="G213" s="94" t="n"/>
      <c r="H213" s="94" t="n"/>
      <c r="I213" s="94" t="n"/>
      <c r="J213" s="94" t="n"/>
      <c r="K213" s="94" t="n"/>
      <c r="L213" s="94" t="n"/>
    </row>
    <row r="214" ht="13.5" customHeight="1">
      <c r="A214" s="94" t="n"/>
      <c r="B214" s="94" t="n"/>
      <c r="C214" s="94" t="n"/>
      <c r="D214" s="94" t="n"/>
      <c r="E214" s="282" t="n"/>
      <c r="F214" s="282" t="n"/>
      <c r="G214" s="94" t="n"/>
      <c r="H214" s="94" t="n"/>
      <c r="I214" s="94" t="n"/>
      <c r="J214" s="94" t="n"/>
      <c r="K214" s="94" t="n"/>
      <c r="L214" s="94" t="n"/>
    </row>
    <row r="215" ht="13.5" customHeight="1">
      <c r="A215" s="94" t="n"/>
      <c r="B215" s="94" t="n"/>
      <c r="C215" s="94" t="n"/>
      <c r="D215" s="94" t="n"/>
      <c r="E215" s="282" t="n"/>
      <c r="F215" s="282" t="n"/>
      <c r="G215" s="94" t="n"/>
      <c r="H215" s="94" t="n"/>
      <c r="I215" s="94" t="n"/>
      <c r="J215" s="94" t="n"/>
      <c r="K215" s="94" t="n"/>
      <c r="L215" s="94" t="n"/>
    </row>
    <row r="216" ht="13.5" customHeight="1">
      <c r="A216" s="94" t="n"/>
      <c r="B216" s="94" t="n"/>
      <c r="C216" s="94" t="n"/>
      <c r="D216" s="94" t="n"/>
      <c r="E216" s="282" t="n"/>
      <c r="F216" s="282" t="n"/>
      <c r="G216" s="94" t="n"/>
      <c r="H216" s="94" t="n"/>
      <c r="I216" s="94" t="n"/>
      <c r="J216" s="94" t="n"/>
      <c r="K216" s="94" t="n"/>
      <c r="L216" s="94" t="n"/>
    </row>
    <row r="217" ht="13.5" customHeight="1">
      <c r="A217" s="94" t="n"/>
      <c r="B217" s="94" t="n"/>
      <c r="C217" s="94" t="n"/>
      <c r="D217" s="94" t="n"/>
      <c r="E217" s="282" t="n"/>
      <c r="F217" s="282" t="n"/>
      <c r="G217" s="94" t="n"/>
      <c r="H217" s="94" t="n"/>
      <c r="I217" s="94" t="n"/>
      <c r="J217" s="94" t="n"/>
      <c r="K217" s="94" t="n"/>
      <c r="L217" s="94" t="n"/>
    </row>
    <row r="218" ht="13.5" customHeight="1">
      <c r="A218" s="94" t="n"/>
      <c r="B218" s="94" t="n"/>
      <c r="C218" s="94" t="n"/>
      <c r="D218" s="94" t="n"/>
      <c r="E218" s="282" t="n"/>
      <c r="F218" s="282" t="n"/>
      <c r="G218" s="94" t="n"/>
      <c r="H218" s="94" t="n"/>
      <c r="I218" s="94" t="n"/>
      <c r="J218" s="94" t="n"/>
      <c r="K218" s="94" t="n"/>
      <c r="L218" s="94" t="n"/>
    </row>
    <row r="219" ht="13.5" customHeight="1">
      <c r="A219" s="94" t="n"/>
      <c r="B219" s="94" t="n"/>
      <c r="C219" s="94" t="n"/>
      <c r="D219" s="94" t="n"/>
      <c r="E219" s="282" t="n"/>
      <c r="F219" s="282" t="n"/>
      <c r="G219" s="94" t="n"/>
      <c r="H219" s="94" t="n"/>
      <c r="I219" s="94" t="n"/>
      <c r="J219" s="94" t="n"/>
      <c r="K219" s="94" t="n"/>
      <c r="L219" s="94" t="n"/>
    </row>
    <row r="220" ht="13.5" customHeight="1">
      <c r="A220" s="94" t="n"/>
      <c r="B220" s="94" t="n"/>
      <c r="C220" s="94" t="n"/>
      <c r="D220" s="94" t="n"/>
      <c r="E220" s="282" t="n"/>
      <c r="F220" s="282" t="n"/>
      <c r="G220" s="94" t="n"/>
      <c r="H220" s="94" t="n"/>
      <c r="I220" s="94" t="n"/>
      <c r="J220" s="94" t="n"/>
      <c r="K220" s="94" t="n"/>
      <c r="L220" s="94" t="n"/>
    </row>
    <row r="221" ht="13.5" customHeight="1">
      <c r="A221" s="94" t="n"/>
      <c r="B221" s="94" t="n"/>
      <c r="C221" s="94" t="n"/>
      <c r="D221" s="94" t="n"/>
      <c r="E221" s="282" t="n"/>
      <c r="F221" s="282" t="n"/>
      <c r="G221" s="94" t="n"/>
      <c r="H221" s="94" t="n"/>
      <c r="I221" s="94" t="n"/>
      <c r="J221" s="94" t="n"/>
      <c r="K221" s="94" t="n"/>
      <c r="L221" s="94" t="n"/>
    </row>
    <row r="222" ht="13.5" customHeight="1">
      <c r="A222" s="94" t="n"/>
      <c r="B222" s="94" t="n"/>
      <c r="C222" s="94" t="n"/>
      <c r="D222" s="94" t="n"/>
      <c r="E222" s="282" t="n"/>
      <c r="F222" s="282" t="n"/>
      <c r="G222" s="94" t="n"/>
      <c r="H222" s="94" t="n"/>
      <c r="I222" s="94" t="n"/>
      <c r="J222" s="94" t="n"/>
      <c r="K222" s="94" t="n"/>
      <c r="L222" s="94" t="n"/>
    </row>
    <row r="223" ht="13.5" customHeight="1">
      <c r="A223" s="94" t="n"/>
      <c r="B223" s="94" t="n"/>
      <c r="C223" s="94" t="n"/>
      <c r="D223" s="94" t="n"/>
      <c r="E223" s="282" t="n"/>
      <c r="F223" s="282" t="n"/>
      <c r="G223" s="94" t="n"/>
      <c r="H223" s="94" t="n"/>
      <c r="I223" s="94" t="n"/>
      <c r="J223" s="94" t="n"/>
      <c r="K223" s="94" t="n"/>
      <c r="L223" s="94" t="n"/>
    </row>
    <row r="224" ht="13.5" customHeight="1">
      <c r="A224" s="94" t="n"/>
      <c r="B224" s="94" t="n"/>
      <c r="C224" s="94" t="n"/>
      <c r="D224" s="94" t="n"/>
      <c r="E224" s="282" t="n"/>
      <c r="F224" s="282" t="n"/>
      <c r="G224" s="94" t="n"/>
      <c r="H224" s="94" t="n"/>
      <c r="I224" s="94" t="n"/>
      <c r="J224" s="94" t="n"/>
      <c r="K224" s="94" t="n"/>
      <c r="L224" s="94" t="n"/>
    </row>
    <row r="225" ht="13.5" customHeight="1">
      <c r="A225" s="94" t="n"/>
      <c r="B225" s="94" t="n"/>
      <c r="C225" s="94" t="n"/>
      <c r="D225" s="94" t="n"/>
      <c r="E225" s="282" t="n"/>
      <c r="F225" s="282" t="n"/>
      <c r="G225" s="94" t="n"/>
      <c r="H225" s="94" t="n"/>
      <c r="I225" s="94" t="n"/>
      <c r="J225" s="94" t="n"/>
      <c r="K225" s="94" t="n"/>
      <c r="L225" s="94" t="n"/>
    </row>
    <row r="226" ht="13.5" customHeight="1">
      <c r="A226" s="94" t="n"/>
      <c r="B226" s="94" t="n"/>
      <c r="C226" s="94" t="n"/>
      <c r="D226" s="94" t="n"/>
      <c r="E226" s="282" t="n"/>
      <c r="F226" s="282" t="n"/>
      <c r="G226" s="94" t="n"/>
      <c r="H226" s="94" t="n"/>
      <c r="I226" s="94" t="n"/>
      <c r="J226" s="94" t="n"/>
      <c r="K226" s="94" t="n"/>
      <c r="L226" s="94" t="n"/>
    </row>
    <row r="227" ht="13.5" customHeight="1">
      <c r="A227" s="94" t="n"/>
      <c r="B227" s="94" t="n"/>
      <c r="C227" s="94" t="n"/>
      <c r="D227" s="94" t="n"/>
      <c r="E227" s="282" t="n"/>
      <c r="F227" s="282" t="n"/>
      <c r="G227" s="94" t="n"/>
      <c r="H227" s="94" t="n"/>
      <c r="I227" s="94" t="n"/>
      <c r="J227" s="94" t="n"/>
      <c r="K227" s="94" t="n"/>
      <c r="L227" s="94" t="n"/>
    </row>
    <row r="228" ht="13.5" customHeight="1">
      <c r="A228" s="94" t="n"/>
      <c r="B228" s="94" t="n"/>
      <c r="C228" s="94" t="n"/>
      <c r="D228" s="94" t="n"/>
      <c r="E228" s="282" t="n"/>
      <c r="F228" s="282" t="n"/>
      <c r="G228" s="94" t="n"/>
      <c r="H228" s="94" t="n"/>
      <c r="I228" s="94" t="n"/>
      <c r="J228" s="94" t="n"/>
      <c r="K228" s="94" t="n"/>
      <c r="L228" s="94" t="n"/>
    </row>
    <row r="229" ht="13.5" customHeight="1">
      <c r="A229" s="94" t="n"/>
      <c r="B229" s="94" t="n"/>
      <c r="C229" s="94" t="n"/>
      <c r="D229" s="94" t="n"/>
      <c r="E229" s="282" t="n"/>
      <c r="F229" s="282" t="n"/>
      <c r="G229" s="94" t="n"/>
      <c r="H229" s="94" t="n"/>
      <c r="I229" s="94" t="n"/>
      <c r="J229" s="94" t="n"/>
      <c r="K229" s="94" t="n"/>
      <c r="L229" s="94" t="n"/>
    </row>
    <row r="230" ht="13.5" customHeight="1">
      <c r="A230" s="94" t="n"/>
      <c r="B230" s="94" t="n"/>
      <c r="C230" s="94" t="n"/>
      <c r="D230" s="94" t="n"/>
      <c r="E230" s="282" t="n"/>
      <c r="F230" s="282" t="n"/>
      <c r="G230" s="94" t="n"/>
      <c r="H230" s="94" t="n"/>
      <c r="I230" s="94" t="n"/>
      <c r="J230" s="94" t="n"/>
      <c r="K230" s="94" t="n"/>
      <c r="L230" s="94" t="n"/>
    </row>
    <row r="231" ht="13.5" customHeight="1">
      <c r="A231" s="94" t="n"/>
      <c r="B231" s="94" t="n"/>
      <c r="C231" s="94" t="n"/>
      <c r="D231" s="94" t="n"/>
      <c r="E231" s="282" t="n"/>
      <c r="F231" s="282" t="n"/>
      <c r="G231" s="94" t="n"/>
      <c r="H231" s="94" t="n"/>
      <c r="I231" s="94" t="n"/>
      <c r="J231" s="94" t="n"/>
      <c r="K231" s="94" t="n"/>
      <c r="L231" s="94" t="n"/>
    </row>
    <row r="232" ht="13.5" customHeight="1">
      <c r="A232" s="94" t="n"/>
      <c r="B232" s="94" t="n"/>
      <c r="C232" s="94" t="n"/>
      <c r="D232" s="94" t="n"/>
      <c r="E232" s="282" t="n"/>
      <c r="F232" s="282" t="n"/>
      <c r="G232" s="94" t="n"/>
      <c r="H232" s="94" t="n"/>
      <c r="I232" s="94" t="n"/>
      <c r="J232" s="94" t="n"/>
      <c r="K232" s="94" t="n"/>
      <c r="L232" s="94" t="n"/>
    </row>
    <row r="233" ht="13.5" customHeight="1">
      <c r="A233" s="94" t="n"/>
      <c r="B233" s="94" t="n"/>
      <c r="C233" s="94" t="n"/>
      <c r="D233" s="94" t="n"/>
      <c r="E233" s="282" t="n"/>
      <c r="F233" s="282" t="n"/>
      <c r="G233" s="94" t="n"/>
      <c r="H233" s="94" t="n"/>
      <c r="I233" s="94" t="n"/>
      <c r="J233" s="94" t="n"/>
      <c r="K233" s="94" t="n"/>
      <c r="L233" s="94" t="n"/>
    </row>
    <row r="234" ht="13.5" customHeight="1">
      <c r="A234" s="94" t="n"/>
      <c r="B234" s="94" t="n"/>
      <c r="C234" s="94" t="n"/>
      <c r="D234" s="94" t="n"/>
      <c r="E234" s="282" t="n"/>
      <c r="F234" s="282" t="n"/>
      <c r="G234" s="94" t="n"/>
      <c r="H234" s="94" t="n"/>
      <c r="I234" s="94" t="n"/>
      <c r="J234" s="94" t="n"/>
      <c r="K234" s="94" t="n"/>
      <c r="L234" s="94" t="n"/>
    </row>
    <row r="235" ht="13.5" customHeight="1">
      <c r="A235" s="94" t="n"/>
      <c r="B235" s="94" t="n"/>
      <c r="C235" s="94" t="n"/>
      <c r="D235" s="94" t="n"/>
      <c r="E235" s="282" t="n"/>
      <c r="F235" s="282" t="n"/>
      <c r="G235" s="94" t="n"/>
      <c r="H235" s="94" t="n"/>
      <c r="I235" s="94" t="n"/>
      <c r="J235" s="94" t="n"/>
      <c r="K235" s="94" t="n"/>
      <c r="L235" s="94" t="n"/>
    </row>
    <row r="236" ht="13.5" customHeight="1">
      <c r="A236" s="94" t="n"/>
      <c r="B236" s="94" t="n"/>
      <c r="C236" s="94" t="n"/>
      <c r="D236" s="94" t="n"/>
      <c r="E236" s="282" t="n"/>
      <c r="F236" s="282" t="n"/>
      <c r="G236" s="94" t="n"/>
      <c r="H236" s="94" t="n"/>
      <c r="I236" s="94" t="n"/>
      <c r="J236" s="94" t="n"/>
      <c r="K236" s="94" t="n"/>
      <c r="L236" s="94" t="n"/>
    </row>
    <row r="237" ht="13.5" customHeight="1">
      <c r="A237" s="94" t="n"/>
      <c r="B237" s="94" t="n"/>
      <c r="C237" s="94" t="n"/>
      <c r="D237" s="94" t="n"/>
      <c r="E237" s="282" t="n"/>
      <c r="F237" s="282" t="n"/>
      <c r="G237" s="94" t="n"/>
      <c r="H237" s="94" t="n"/>
      <c r="I237" s="94" t="n"/>
      <c r="J237" s="94" t="n"/>
      <c r="K237" s="94" t="n"/>
      <c r="L237" s="94" t="n"/>
    </row>
    <row r="238" ht="13.5" customHeight="1">
      <c r="A238" s="94" t="n"/>
      <c r="B238" s="94" t="n"/>
      <c r="C238" s="94" t="n"/>
      <c r="D238" s="94" t="n"/>
      <c r="E238" s="282" t="n"/>
      <c r="F238" s="282" t="n"/>
      <c r="G238" s="94" t="n"/>
      <c r="H238" s="94" t="n"/>
      <c r="I238" s="94" t="n"/>
      <c r="J238" s="94" t="n"/>
      <c r="K238" s="94" t="n"/>
      <c r="L238" s="94" t="n"/>
    </row>
    <row r="239" ht="13.5" customHeight="1">
      <c r="A239" s="94" t="n"/>
      <c r="B239" s="94" t="n"/>
      <c r="C239" s="94" t="n"/>
      <c r="D239" s="94" t="n"/>
      <c r="E239" s="282" t="n"/>
      <c r="F239" s="282" t="n"/>
      <c r="G239" s="94" t="n"/>
      <c r="H239" s="94" t="n"/>
      <c r="I239" s="94" t="n"/>
      <c r="J239" s="94" t="n"/>
      <c r="K239" s="94" t="n"/>
      <c r="L239" s="94" t="n"/>
    </row>
    <row r="240" ht="13.5" customHeight="1">
      <c r="A240" s="94" t="n"/>
      <c r="B240" s="94" t="n"/>
      <c r="C240" s="94" t="n"/>
      <c r="D240" s="94" t="n"/>
      <c r="E240" s="282" t="n"/>
      <c r="F240" s="282" t="n"/>
      <c r="G240" s="94" t="n"/>
      <c r="H240" s="94" t="n"/>
      <c r="I240" s="94" t="n"/>
      <c r="J240" s="94" t="n"/>
      <c r="K240" s="94" t="n"/>
      <c r="L240" s="94" t="n"/>
    </row>
    <row r="241" ht="13.5" customHeight="1">
      <c r="A241" s="94" t="n"/>
      <c r="B241" s="94" t="n"/>
      <c r="C241" s="94" t="n"/>
      <c r="D241" s="94" t="n"/>
      <c r="E241" s="282" t="n"/>
      <c r="F241" s="282" t="n"/>
      <c r="G241" s="94" t="n"/>
      <c r="H241" s="94" t="n"/>
      <c r="I241" s="94" t="n"/>
      <c r="J241" s="94" t="n"/>
      <c r="K241" s="94" t="n"/>
      <c r="L241" s="94" t="n"/>
    </row>
    <row r="242" ht="13.5" customHeight="1">
      <c r="A242" s="94" t="n"/>
      <c r="B242" s="94" t="n"/>
      <c r="C242" s="94" t="n"/>
      <c r="D242" s="94" t="n"/>
      <c r="E242" s="282" t="n"/>
      <c r="F242" s="282" t="n"/>
      <c r="G242" s="94" t="n"/>
      <c r="H242" s="94" t="n"/>
      <c r="I242" s="94" t="n"/>
      <c r="J242" s="94" t="n"/>
      <c r="K242" s="94" t="n"/>
      <c r="L242" s="94" t="n"/>
    </row>
    <row r="243" ht="13.5" customHeight="1">
      <c r="A243" s="94" t="n"/>
      <c r="B243" s="94" t="n"/>
      <c r="C243" s="94" t="n"/>
      <c r="D243" s="94" t="n"/>
      <c r="E243" s="282" t="n"/>
      <c r="F243" s="282" t="n"/>
      <c r="G243" s="94" t="n"/>
      <c r="H243" s="94" t="n"/>
      <c r="I243" s="94" t="n"/>
      <c r="J243" s="94" t="n"/>
      <c r="K243" s="94" t="n"/>
      <c r="L243" s="94" t="n"/>
    </row>
    <row r="244" ht="13.5" customHeight="1">
      <c r="A244" s="94" t="n"/>
      <c r="B244" s="94" t="n"/>
      <c r="C244" s="94" t="n"/>
      <c r="D244" s="94" t="n"/>
      <c r="E244" s="282" t="n"/>
      <c r="F244" s="282" t="n"/>
      <c r="G244" s="94" t="n"/>
      <c r="H244" s="94" t="n"/>
      <c r="I244" s="94" t="n"/>
      <c r="J244" s="94" t="n"/>
      <c r="K244" s="94" t="n"/>
      <c r="L244" s="94" t="n"/>
    </row>
    <row r="245" ht="13.5" customHeight="1">
      <c r="A245" s="94" t="n"/>
      <c r="B245" s="94" t="n"/>
      <c r="C245" s="94" t="n"/>
      <c r="D245" s="94" t="n"/>
      <c r="E245" s="282" t="n"/>
      <c r="F245" s="282" t="n"/>
      <c r="G245" s="94" t="n"/>
      <c r="H245" s="94" t="n"/>
      <c r="I245" s="94" t="n"/>
      <c r="J245" s="94" t="n"/>
      <c r="K245" s="94" t="n"/>
      <c r="L245" s="94" t="n"/>
    </row>
    <row r="246" ht="13.5" customHeight="1">
      <c r="A246" s="94" t="n"/>
      <c r="B246" s="94" t="n"/>
      <c r="C246" s="94" t="n"/>
      <c r="D246" s="94" t="n"/>
      <c r="E246" s="282" t="n"/>
      <c r="F246" s="282" t="n"/>
      <c r="G246" s="94" t="n"/>
      <c r="H246" s="94" t="n"/>
      <c r="I246" s="94" t="n"/>
      <c r="J246" s="94" t="n"/>
      <c r="K246" s="94" t="n"/>
      <c r="L246" s="94" t="n"/>
    </row>
    <row r="247" ht="13.5" customHeight="1">
      <c r="A247" s="94" t="n"/>
      <c r="B247" s="94" t="n"/>
      <c r="C247" s="94" t="n"/>
      <c r="D247" s="94" t="n"/>
      <c r="E247" s="282" t="n"/>
      <c r="F247" s="282" t="n"/>
      <c r="G247" s="94" t="n"/>
      <c r="H247" s="94" t="n"/>
      <c r="I247" s="94" t="n"/>
      <c r="J247" s="94" t="n"/>
      <c r="K247" s="94" t="n"/>
      <c r="L247" s="94" t="n"/>
    </row>
    <row r="248" ht="13.5" customHeight="1">
      <c r="A248" s="94" t="n"/>
      <c r="B248" s="94" t="n"/>
      <c r="C248" s="94" t="n"/>
      <c r="D248" s="94" t="n"/>
      <c r="E248" s="282" t="n"/>
      <c r="F248" s="282" t="n"/>
      <c r="G248" s="94" t="n"/>
      <c r="H248" s="94" t="n"/>
      <c r="I248" s="94" t="n"/>
      <c r="J248" s="94" t="n"/>
      <c r="K248" s="94" t="n"/>
      <c r="L248" s="94" t="n"/>
    </row>
    <row r="249" ht="13.5" customHeight="1">
      <c r="A249" s="94" t="n"/>
      <c r="B249" s="94" t="n"/>
      <c r="C249" s="94" t="n"/>
      <c r="D249" s="94" t="n"/>
      <c r="E249" s="282" t="n"/>
      <c r="F249" s="282" t="n"/>
      <c r="G249" s="94" t="n"/>
      <c r="H249" s="94" t="n"/>
      <c r="I249" s="94" t="n"/>
      <c r="J249" s="94" t="n"/>
      <c r="K249" s="94" t="n"/>
      <c r="L249" s="94" t="n"/>
    </row>
    <row r="250" ht="13.5" customHeight="1">
      <c r="A250" s="94" t="n"/>
      <c r="B250" s="94" t="n"/>
      <c r="C250" s="94" t="n"/>
      <c r="D250" s="94" t="n"/>
      <c r="E250" s="282" t="n"/>
      <c r="F250" s="282" t="n"/>
      <c r="G250" s="94" t="n"/>
      <c r="H250" s="94" t="n"/>
      <c r="I250" s="94" t="n"/>
      <c r="J250" s="94" t="n"/>
      <c r="K250" s="94" t="n"/>
      <c r="L250" s="94" t="n"/>
    </row>
    <row r="251" ht="13.5" customHeight="1">
      <c r="A251" s="94" t="n"/>
      <c r="B251" s="94" t="n"/>
      <c r="C251" s="94" t="n"/>
      <c r="D251" s="94" t="n"/>
      <c r="E251" s="282" t="n"/>
      <c r="F251" s="282" t="n"/>
      <c r="G251" s="94" t="n"/>
      <c r="H251" s="94" t="n"/>
      <c r="I251" s="94" t="n"/>
      <c r="J251" s="94" t="n"/>
      <c r="K251" s="94" t="n"/>
      <c r="L251" s="94" t="n"/>
    </row>
    <row r="252" ht="13.5" customHeight="1">
      <c r="A252" s="94" t="n"/>
      <c r="B252" s="94" t="n"/>
      <c r="C252" s="94" t="n"/>
      <c r="D252" s="94" t="n"/>
      <c r="E252" s="282" t="n"/>
      <c r="F252" s="282" t="n"/>
      <c r="G252" s="94" t="n"/>
      <c r="H252" s="94" t="n"/>
      <c r="I252" s="94" t="n"/>
      <c r="J252" s="94" t="n"/>
      <c r="K252" s="94" t="n"/>
      <c r="L252" s="94" t="n"/>
    </row>
    <row r="253" ht="13.5" customHeight="1">
      <c r="A253" s="94" t="n"/>
      <c r="B253" s="94" t="n"/>
      <c r="C253" s="94" t="n"/>
      <c r="D253" s="94" t="n"/>
      <c r="E253" s="282" t="n"/>
      <c r="F253" s="282" t="n"/>
      <c r="G253" s="94" t="n"/>
      <c r="H253" s="94" t="n"/>
      <c r="I253" s="94" t="n"/>
      <c r="J253" s="94" t="n"/>
      <c r="K253" s="94" t="n"/>
      <c r="L253" s="94" t="n"/>
    </row>
    <row r="254" ht="13.5" customHeight="1">
      <c r="A254" s="94" t="n"/>
      <c r="B254" s="94" t="n"/>
      <c r="C254" s="94" t="n"/>
      <c r="D254" s="94" t="n"/>
      <c r="E254" s="282" t="n"/>
      <c r="F254" s="282" t="n"/>
      <c r="G254" s="94" t="n"/>
      <c r="H254" s="94" t="n"/>
      <c r="I254" s="94" t="n"/>
      <c r="J254" s="94" t="n"/>
      <c r="K254" s="94" t="n"/>
      <c r="L254" s="94" t="n"/>
    </row>
    <row r="255" ht="13.5" customHeight="1">
      <c r="A255" s="94" t="n"/>
      <c r="B255" s="94" t="n"/>
      <c r="C255" s="94" t="n"/>
      <c r="D255" s="94" t="n"/>
      <c r="E255" s="282" t="n"/>
      <c r="F255" s="282" t="n"/>
      <c r="G255" s="94" t="n"/>
      <c r="H255" s="94" t="n"/>
      <c r="I255" s="94" t="n"/>
      <c r="J255" s="94" t="n"/>
      <c r="K255" s="94" t="n"/>
      <c r="L255" s="94" t="n"/>
    </row>
    <row r="256" ht="13.5" customHeight="1">
      <c r="A256" s="94" t="n"/>
      <c r="B256" s="94" t="n"/>
      <c r="C256" s="94" t="n"/>
      <c r="D256" s="94" t="n"/>
      <c r="E256" s="282" t="n"/>
      <c r="F256" s="282" t="n"/>
      <c r="G256" s="94" t="n"/>
      <c r="H256" s="94" t="n"/>
      <c r="I256" s="94" t="n"/>
      <c r="J256" s="94" t="n"/>
      <c r="K256" s="94" t="n"/>
      <c r="L256" s="94" t="n"/>
    </row>
    <row r="257" ht="13.5" customHeight="1">
      <c r="A257" s="94" t="n"/>
      <c r="B257" s="94" t="n"/>
      <c r="C257" s="94" t="n"/>
      <c r="D257" s="94" t="n"/>
      <c r="E257" s="282" t="n"/>
      <c r="F257" s="282" t="n"/>
      <c r="G257" s="94" t="n"/>
      <c r="H257" s="94" t="n"/>
      <c r="I257" s="94" t="n"/>
      <c r="J257" s="94" t="n"/>
      <c r="K257" s="94" t="n"/>
      <c r="L257" s="94" t="n"/>
    </row>
    <row r="258" ht="13.5" customHeight="1">
      <c r="A258" s="94" t="n"/>
      <c r="B258" s="94" t="n"/>
      <c r="C258" s="94" t="n"/>
      <c r="D258" s="94" t="n"/>
      <c r="E258" s="282" t="n"/>
      <c r="F258" s="282" t="n"/>
      <c r="G258" s="94" t="n"/>
      <c r="H258" s="94" t="n"/>
      <c r="I258" s="94" t="n"/>
      <c r="J258" s="94" t="n"/>
      <c r="K258" s="94" t="n"/>
      <c r="L258" s="94" t="n"/>
    </row>
    <row r="259" ht="13.5" customHeight="1">
      <c r="A259" s="94" t="n"/>
      <c r="B259" s="94" t="n"/>
      <c r="C259" s="94" t="n"/>
      <c r="D259" s="94" t="n"/>
      <c r="E259" s="282" t="n"/>
      <c r="F259" s="282" t="n"/>
      <c r="G259" s="94" t="n"/>
      <c r="H259" s="94" t="n"/>
      <c r="I259" s="94" t="n"/>
      <c r="J259" s="94" t="n"/>
      <c r="K259" s="94" t="n"/>
      <c r="L259" s="94" t="n"/>
    </row>
    <row r="260" ht="13.5" customHeight="1">
      <c r="A260" s="94" t="n"/>
      <c r="B260" s="94" t="n"/>
      <c r="C260" s="94" t="n"/>
      <c r="D260" s="94" t="n"/>
      <c r="E260" s="282" t="n"/>
      <c r="F260" s="282" t="n"/>
      <c r="G260" s="94" t="n"/>
      <c r="H260" s="94" t="n"/>
      <c r="I260" s="94" t="n"/>
      <c r="J260" s="94" t="n"/>
      <c r="K260" s="94" t="n"/>
      <c r="L260" s="94" t="n"/>
    </row>
    <row r="261" ht="13.5" customHeight="1">
      <c r="A261" s="94" t="n"/>
      <c r="B261" s="94" t="n"/>
      <c r="C261" s="94" t="n"/>
      <c r="D261" s="94" t="n"/>
      <c r="E261" s="282" t="n"/>
      <c r="F261" s="282" t="n"/>
      <c r="G261" s="94" t="n"/>
      <c r="H261" s="94" t="n"/>
      <c r="I261" s="94" t="n"/>
      <c r="J261" s="94" t="n"/>
      <c r="K261" s="94" t="n"/>
      <c r="L261" s="94" t="n"/>
    </row>
    <row r="262" ht="13.5" customHeight="1">
      <c r="A262" s="94" t="n"/>
      <c r="B262" s="94" t="n"/>
      <c r="C262" s="94" t="n"/>
      <c r="D262" s="94" t="n"/>
      <c r="E262" s="282" t="n"/>
      <c r="F262" s="282" t="n"/>
      <c r="G262" s="94" t="n"/>
      <c r="H262" s="94" t="n"/>
      <c r="I262" s="94" t="n"/>
      <c r="J262" s="94" t="n"/>
      <c r="K262" s="94" t="n"/>
      <c r="L262" s="94" t="n"/>
    </row>
    <row r="263" ht="13.5" customHeight="1">
      <c r="A263" s="94" t="n"/>
      <c r="B263" s="94" t="n"/>
      <c r="C263" s="94" t="n"/>
      <c r="D263" s="94" t="n"/>
      <c r="E263" s="282" t="n"/>
      <c r="F263" s="282" t="n"/>
      <c r="G263" s="94" t="n"/>
      <c r="H263" s="94" t="n"/>
      <c r="I263" s="94" t="n"/>
      <c r="J263" s="94" t="n"/>
      <c r="K263" s="94" t="n"/>
      <c r="L263" s="94" t="n"/>
    </row>
    <row r="264" ht="13.5" customHeight="1">
      <c r="A264" s="94" t="n"/>
      <c r="B264" s="94" t="n"/>
      <c r="C264" s="94" t="n"/>
      <c r="D264" s="94" t="n"/>
      <c r="E264" s="282" t="n"/>
      <c r="F264" s="282" t="n"/>
      <c r="G264" s="94" t="n"/>
      <c r="H264" s="94" t="n"/>
      <c r="I264" s="94" t="n"/>
      <c r="J264" s="94" t="n"/>
      <c r="K264" s="94" t="n"/>
      <c r="L264" s="94" t="n"/>
    </row>
    <row r="265" ht="13.5" customHeight="1">
      <c r="A265" s="94" t="n"/>
      <c r="B265" s="94" t="n"/>
      <c r="C265" s="94" t="n"/>
      <c r="D265" s="94" t="n"/>
      <c r="E265" s="282" t="n"/>
      <c r="F265" s="282" t="n"/>
      <c r="G265" s="94" t="n"/>
      <c r="H265" s="94" t="n"/>
      <c r="I265" s="94" t="n"/>
      <c r="J265" s="94" t="n"/>
      <c r="K265" s="94" t="n"/>
      <c r="L265" s="94" t="n"/>
    </row>
    <row r="266" ht="13.5" customHeight="1">
      <c r="A266" s="94" t="n"/>
      <c r="B266" s="94" t="n"/>
      <c r="C266" s="94" t="n"/>
      <c r="D266" s="94" t="n"/>
      <c r="E266" s="282" t="n"/>
      <c r="F266" s="282" t="n"/>
      <c r="G266" s="94" t="n"/>
      <c r="H266" s="94" t="n"/>
      <c r="I266" s="94" t="n"/>
      <c r="J266" s="94" t="n"/>
      <c r="K266" s="94" t="n"/>
      <c r="L266" s="94" t="n"/>
    </row>
    <row r="267" ht="13.5" customHeight="1">
      <c r="A267" s="94" t="n"/>
      <c r="B267" s="94" t="n"/>
      <c r="C267" s="94" t="n"/>
      <c r="D267" s="94" t="n"/>
      <c r="E267" s="282" t="n"/>
      <c r="F267" s="282" t="n"/>
      <c r="G267" s="94" t="n"/>
      <c r="H267" s="94" t="n"/>
      <c r="I267" s="94" t="n"/>
      <c r="J267" s="94" t="n"/>
      <c r="K267" s="94" t="n"/>
      <c r="L267" s="94" t="n"/>
    </row>
    <row r="268" ht="13.5" customHeight="1">
      <c r="A268" s="94" t="n"/>
      <c r="B268" s="94" t="n"/>
      <c r="C268" s="94" t="n"/>
      <c r="D268" s="94" t="n"/>
      <c r="E268" s="282" t="n"/>
      <c r="F268" s="282" t="n"/>
      <c r="G268" s="94" t="n"/>
      <c r="H268" s="94" t="n"/>
      <c r="I268" s="94" t="n"/>
      <c r="J268" s="94" t="n"/>
      <c r="K268" s="94" t="n"/>
      <c r="L268" s="94" t="n"/>
    </row>
    <row r="269" ht="13.5" customHeight="1">
      <c r="A269" s="94" t="n"/>
      <c r="B269" s="94" t="n"/>
      <c r="C269" s="94" t="n"/>
      <c r="D269" s="94" t="n"/>
      <c r="E269" s="282" t="n"/>
      <c r="F269" s="282" t="n"/>
      <c r="G269" s="94" t="n"/>
      <c r="H269" s="94" t="n"/>
      <c r="I269" s="94" t="n"/>
      <c r="J269" s="94" t="n"/>
      <c r="K269" s="94" t="n"/>
      <c r="L269" s="94" t="n"/>
    </row>
    <row r="270" ht="13.5" customHeight="1">
      <c r="A270" s="94" t="n"/>
      <c r="B270" s="94" t="n"/>
      <c r="C270" s="94" t="n"/>
      <c r="D270" s="94" t="n"/>
      <c r="E270" s="282" t="n"/>
      <c r="F270" s="282" t="n"/>
      <c r="G270" s="94" t="n"/>
      <c r="H270" s="94" t="n"/>
      <c r="I270" s="94" t="n"/>
      <c r="J270" s="94" t="n"/>
      <c r="K270" s="94" t="n"/>
      <c r="L270" s="94" t="n"/>
    </row>
    <row r="271" ht="13.5" customHeight="1">
      <c r="A271" s="94" t="n"/>
      <c r="B271" s="94" t="n"/>
      <c r="C271" s="94" t="n"/>
      <c r="D271" s="94" t="n"/>
      <c r="E271" s="282" t="n"/>
      <c r="F271" s="282" t="n"/>
      <c r="G271" s="94" t="n"/>
      <c r="H271" s="94" t="n"/>
      <c r="I271" s="94" t="n"/>
      <c r="J271" s="94" t="n"/>
      <c r="K271" s="94" t="n"/>
      <c r="L271" s="94" t="n"/>
    </row>
    <row r="272" ht="13.5" customHeight="1">
      <c r="A272" s="94" t="n"/>
      <c r="B272" s="94" t="n"/>
      <c r="C272" s="94" t="n"/>
      <c r="D272" s="94" t="n"/>
      <c r="E272" s="282" t="n"/>
      <c r="F272" s="282" t="n"/>
      <c r="G272" s="94" t="n"/>
      <c r="H272" s="94" t="n"/>
      <c r="I272" s="94" t="n"/>
      <c r="J272" s="94" t="n"/>
      <c r="K272" s="94" t="n"/>
      <c r="L272" s="94" t="n"/>
    </row>
    <row r="273" ht="13.5" customHeight="1">
      <c r="A273" s="94" t="n"/>
      <c r="B273" s="94" t="n"/>
      <c r="C273" s="94" t="n"/>
      <c r="D273" s="94" t="n"/>
      <c r="E273" s="282" t="n"/>
      <c r="F273" s="282" t="n"/>
      <c r="G273" s="94" t="n"/>
      <c r="H273" s="94" t="n"/>
      <c r="I273" s="94" t="n"/>
      <c r="J273" s="94" t="n"/>
      <c r="K273" s="94" t="n"/>
      <c r="L273" s="94" t="n"/>
    </row>
    <row r="274" ht="13.5" customHeight="1">
      <c r="A274" s="94" t="n"/>
      <c r="B274" s="94" t="n"/>
      <c r="C274" s="94" t="n"/>
      <c r="D274" s="94" t="n"/>
      <c r="E274" s="282" t="n"/>
      <c r="F274" s="282" t="n"/>
      <c r="G274" s="94" t="n"/>
      <c r="H274" s="94" t="n"/>
      <c r="I274" s="94" t="n"/>
      <c r="J274" s="94" t="n"/>
      <c r="K274" s="94" t="n"/>
      <c r="L274" s="94" t="n"/>
    </row>
    <row r="275" ht="13.5" customHeight="1">
      <c r="A275" s="94" t="n"/>
      <c r="B275" s="94" t="n"/>
      <c r="C275" s="94" t="n"/>
      <c r="D275" s="94" t="n"/>
      <c r="E275" s="282" t="n"/>
      <c r="F275" s="282" t="n"/>
      <c r="G275" s="94" t="n"/>
      <c r="H275" s="94" t="n"/>
      <c r="I275" s="94" t="n"/>
      <c r="J275" s="94" t="n"/>
      <c r="K275" s="94" t="n"/>
      <c r="L275" s="94" t="n"/>
    </row>
    <row r="276" ht="13.5" customHeight="1">
      <c r="A276" s="94" t="n"/>
      <c r="B276" s="94" t="n"/>
      <c r="C276" s="94" t="n"/>
      <c r="D276" s="94" t="n"/>
      <c r="E276" s="282" t="n"/>
      <c r="F276" s="282" t="n"/>
      <c r="G276" s="94" t="n"/>
      <c r="H276" s="94" t="n"/>
      <c r="I276" s="94" t="n"/>
      <c r="J276" s="94" t="n"/>
      <c r="K276" s="94" t="n"/>
      <c r="L276" s="94" t="n"/>
    </row>
    <row r="277" ht="13.5" customHeight="1">
      <c r="A277" s="94" t="n"/>
      <c r="B277" s="94" t="n"/>
      <c r="C277" s="94" t="n"/>
      <c r="D277" s="94" t="n"/>
      <c r="E277" s="282" t="n"/>
      <c r="F277" s="282" t="n"/>
      <c r="G277" s="94" t="n"/>
      <c r="H277" s="94" t="n"/>
      <c r="I277" s="94" t="n"/>
      <c r="J277" s="94" t="n"/>
      <c r="K277" s="94" t="n"/>
      <c r="L277" s="94" t="n"/>
    </row>
    <row r="278" ht="13.5" customHeight="1">
      <c r="A278" s="94" t="n"/>
      <c r="B278" s="94" t="n"/>
      <c r="C278" s="94" t="n"/>
      <c r="D278" s="94" t="n"/>
      <c r="E278" s="282" t="n"/>
      <c r="F278" s="282" t="n"/>
      <c r="G278" s="94" t="n"/>
      <c r="H278" s="94" t="n"/>
      <c r="I278" s="94" t="n"/>
      <c r="J278" s="94" t="n"/>
      <c r="K278" s="94" t="n"/>
      <c r="L278" s="94" t="n"/>
    </row>
    <row r="279" ht="13.5" customHeight="1">
      <c r="A279" s="94" t="n"/>
      <c r="B279" s="94" t="n"/>
      <c r="C279" s="94" t="n"/>
      <c r="D279" s="94" t="n"/>
      <c r="E279" s="282" t="n"/>
      <c r="F279" s="282" t="n"/>
      <c r="G279" s="94" t="n"/>
      <c r="H279" s="94" t="n"/>
      <c r="I279" s="94" t="n"/>
      <c r="J279" s="94" t="n"/>
      <c r="K279" s="94" t="n"/>
      <c r="L279" s="94" t="n"/>
    </row>
    <row r="280" ht="13.5" customHeight="1">
      <c r="A280" s="94" t="n"/>
      <c r="B280" s="94" t="n"/>
      <c r="C280" s="94" t="n"/>
      <c r="D280" s="94" t="n"/>
      <c r="E280" s="282" t="n"/>
      <c r="F280" s="282" t="n"/>
      <c r="G280" s="94" t="n"/>
      <c r="H280" s="94" t="n"/>
      <c r="I280" s="94" t="n"/>
      <c r="J280" s="94" t="n"/>
      <c r="K280" s="94" t="n"/>
      <c r="L280" s="94" t="n"/>
    </row>
    <row r="281" ht="13.5" customHeight="1">
      <c r="A281" s="94" t="n"/>
      <c r="B281" s="94" t="n"/>
      <c r="C281" s="94" t="n"/>
      <c r="D281" s="94" t="n"/>
      <c r="E281" s="282" t="n"/>
      <c r="F281" s="282" t="n"/>
      <c r="G281" s="94" t="n"/>
      <c r="H281" s="94" t="n"/>
      <c r="I281" s="94" t="n"/>
      <c r="J281" s="94" t="n"/>
      <c r="K281" s="94" t="n"/>
      <c r="L281" s="94" t="n"/>
    </row>
    <row r="282" ht="13.5" customHeight="1">
      <c r="A282" s="94" t="n"/>
      <c r="B282" s="94" t="n"/>
      <c r="C282" s="94" t="n"/>
      <c r="D282" s="94" t="n"/>
      <c r="E282" s="282" t="n"/>
      <c r="F282" s="282" t="n"/>
      <c r="G282" s="94" t="n"/>
      <c r="H282" s="94" t="n"/>
      <c r="I282" s="94" t="n"/>
      <c r="J282" s="94" t="n"/>
      <c r="K282" s="94" t="n"/>
      <c r="L282" s="94" t="n"/>
    </row>
    <row r="283" ht="13.5" customHeight="1">
      <c r="A283" s="94" t="n"/>
      <c r="B283" s="94" t="n"/>
      <c r="C283" s="94" t="n"/>
      <c r="D283" s="94" t="n"/>
      <c r="E283" s="282" t="n"/>
      <c r="F283" s="282" t="n"/>
      <c r="G283" s="94" t="n"/>
      <c r="H283" s="94" t="n"/>
      <c r="I283" s="94" t="n"/>
      <c r="J283" s="94" t="n"/>
      <c r="K283" s="94" t="n"/>
      <c r="L283" s="94" t="n"/>
    </row>
    <row r="284" ht="13.5" customHeight="1">
      <c r="A284" s="94" t="n"/>
      <c r="B284" s="94" t="n"/>
      <c r="C284" s="94" t="n"/>
      <c r="D284" s="94" t="n"/>
      <c r="E284" s="282" t="n"/>
      <c r="F284" s="282" t="n"/>
      <c r="G284" s="94" t="n"/>
      <c r="H284" s="94" t="n"/>
      <c r="I284" s="94" t="n"/>
      <c r="J284" s="94" t="n"/>
      <c r="K284" s="94" t="n"/>
      <c r="L284" s="94" t="n"/>
    </row>
    <row r="285" ht="13.5" customHeight="1">
      <c r="A285" s="94" t="n"/>
      <c r="B285" s="94" t="n"/>
      <c r="C285" s="94" t="n"/>
      <c r="D285" s="94" t="n"/>
      <c r="E285" s="282" t="n"/>
      <c r="F285" s="282" t="n"/>
      <c r="G285" s="94" t="n"/>
      <c r="H285" s="94" t="n"/>
      <c r="I285" s="94" t="n"/>
      <c r="J285" s="94" t="n"/>
      <c r="K285" s="94" t="n"/>
      <c r="L285" s="94" t="n"/>
    </row>
    <row r="286" ht="13.5" customHeight="1">
      <c r="A286" s="94" t="n"/>
      <c r="B286" s="94" t="n"/>
      <c r="C286" s="94" t="n"/>
      <c r="D286" s="94" t="n"/>
      <c r="E286" s="282" t="n"/>
      <c r="F286" s="282" t="n"/>
      <c r="G286" s="94" t="n"/>
      <c r="H286" s="94" t="n"/>
      <c r="I286" s="94" t="n"/>
      <c r="J286" s="94" t="n"/>
      <c r="K286" s="94" t="n"/>
      <c r="L286" s="94" t="n"/>
    </row>
    <row r="287" ht="13.5" customHeight="1">
      <c r="A287" s="94" t="n"/>
      <c r="B287" s="94" t="n"/>
      <c r="C287" s="94" t="n"/>
      <c r="D287" s="94" t="n"/>
      <c r="E287" s="282" t="n"/>
      <c r="F287" s="282" t="n"/>
      <c r="G287" s="94" t="n"/>
      <c r="H287" s="94" t="n"/>
      <c r="I287" s="94" t="n"/>
      <c r="J287" s="94" t="n"/>
      <c r="K287" s="94" t="n"/>
      <c r="L287" s="94" t="n"/>
    </row>
    <row r="288" ht="13.5" customHeight="1">
      <c r="A288" s="94" t="n"/>
      <c r="B288" s="94" t="n"/>
      <c r="C288" s="94" t="n"/>
      <c r="D288" s="94" t="n"/>
      <c r="E288" s="282" t="n"/>
      <c r="F288" s="282" t="n"/>
      <c r="G288" s="94" t="n"/>
      <c r="H288" s="94" t="n"/>
      <c r="I288" s="94" t="n"/>
      <c r="J288" s="94" t="n"/>
      <c r="K288" s="94" t="n"/>
      <c r="L288" s="94" t="n"/>
    </row>
    <row r="289" ht="13.5" customHeight="1">
      <c r="A289" s="94" t="n"/>
      <c r="B289" s="94" t="n"/>
      <c r="C289" s="94" t="n"/>
      <c r="D289" s="94" t="n"/>
      <c r="E289" s="282" t="n"/>
      <c r="F289" s="282" t="n"/>
      <c r="G289" s="94" t="n"/>
      <c r="H289" s="94" t="n"/>
      <c r="I289" s="94" t="n"/>
      <c r="J289" s="94" t="n"/>
      <c r="K289" s="94" t="n"/>
      <c r="L289" s="94" t="n"/>
    </row>
    <row r="290" ht="13.5" customHeight="1">
      <c r="A290" s="94" t="n"/>
      <c r="B290" s="94" t="n"/>
      <c r="C290" s="94" t="n"/>
      <c r="D290" s="94" t="n"/>
      <c r="E290" s="282" t="n"/>
      <c r="F290" s="282" t="n"/>
      <c r="G290" s="94" t="n"/>
      <c r="H290" s="94" t="n"/>
      <c r="I290" s="94" t="n"/>
      <c r="J290" s="94" t="n"/>
      <c r="K290" s="94" t="n"/>
      <c r="L290" s="94" t="n"/>
    </row>
    <row r="291" ht="13.5" customHeight="1">
      <c r="A291" s="94" t="n"/>
      <c r="B291" s="94" t="n"/>
      <c r="C291" s="94" t="n"/>
      <c r="D291" s="94" t="n"/>
      <c r="E291" s="282" t="n"/>
      <c r="F291" s="282" t="n"/>
      <c r="G291" s="94" t="n"/>
      <c r="H291" s="94" t="n"/>
      <c r="I291" s="94" t="n"/>
      <c r="J291" s="94" t="n"/>
      <c r="K291" s="94" t="n"/>
      <c r="L291" s="94" t="n"/>
    </row>
    <row r="292" ht="13.5" customHeight="1">
      <c r="A292" s="94" t="n"/>
      <c r="B292" s="94" t="n"/>
      <c r="C292" s="94" t="n"/>
      <c r="D292" s="94" t="n"/>
      <c r="E292" s="282" t="n"/>
      <c r="F292" s="282" t="n"/>
      <c r="G292" s="94" t="n"/>
      <c r="H292" s="94" t="n"/>
      <c r="I292" s="94" t="n"/>
      <c r="J292" s="94" t="n"/>
      <c r="K292" s="94" t="n"/>
      <c r="L292" s="94" t="n"/>
    </row>
    <row r="293" ht="13.5" customHeight="1">
      <c r="A293" s="94" t="n"/>
      <c r="B293" s="94" t="n"/>
      <c r="C293" s="94" t="n"/>
      <c r="D293" s="94" t="n"/>
      <c r="E293" s="282" t="n"/>
      <c r="F293" s="282" t="n"/>
      <c r="G293" s="94" t="n"/>
      <c r="H293" s="94" t="n"/>
      <c r="I293" s="94" t="n"/>
      <c r="J293" s="94" t="n"/>
      <c r="K293" s="94" t="n"/>
      <c r="L293" s="94" t="n"/>
    </row>
    <row r="294" ht="13.5" customHeight="1">
      <c r="A294" s="94" t="n"/>
      <c r="B294" s="94" t="n"/>
      <c r="C294" s="94" t="n"/>
      <c r="D294" s="94" t="n"/>
      <c r="E294" s="282" t="n"/>
      <c r="F294" s="282" t="n"/>
      <c r="G294" s="94" t="n"/>
      <c r="H294" s="94" t="n"/>
      <c r="I294" s="94" t="n"/>
      <c r="J294" s="94" t="n"/>
      <c r="K294" s="94" t="n"/>
      <c r="L294" s="94" t="n"/>
    </row>
    <row r="295" ht="13.5" customHeight="1">
      <c r="A295" s="94" t="n"/>
      <c r="B295" s="94" t="n"/>
      <c r="C295" s="94" t="n"/>
      <c r="D295" s="94" t="n"/>
      <c r="E295" s="282" t="n"/>
      <c r="F295" s="282" t="n"/>
      <c r="G295" s="94" t="n"/>
      <c r="H295" s="94" t="n"/>
      <c r="I295" s="94" t="n"/>
      <c r="J295" s="94" t="n"/>
      <c r="K295" s="94" t="n"/>
      <c r="L295" s="94" t="n"/>
    </row>
    <row r="296" ht="13.5" customHeight="1">
      <c r="A296" s="94" t="n"/>
      <c r="B296" s="94" t="n"/>
      <c r="C296" s="94" t="n"/>
      <c r="D296" s="94" t="n"/>
      <c r="E296" s="282" t="n"/>
      <c r="F296" s="282" t="n"/>
      <c r="G296" s="94" t="n"/>
      <c r="H296" s="94" t="n"/>
      <c r="I296" s="94" t="n"/>
      <c r="J296" s="94" t="n"/>
      <c r="K296" s="94" t="n"/>
      <c r="L296" s="94" t="n"/>
    </row>
    <row r="297" ht="13.5" customHeight="1">
      <c r="A297" s="94" t="n"/>
      <c r="B297" s="94" t="n"/>
      <c r="C297" s="94" t="n"/>
      <c r="D297" s="94" t="n"/>
      <c r="E297" s="282" t="n"/>
      <c r="F297" s="282" t="n"/>
      <c r="G297" s="94" t="n"/>
      <c r="H297" s="94" t="n"/>
      <c r="I297" s="94" t="n"/>
      <c r="J297" s="94" t="n"/>
      <c r="K297" s="94" t="n"/>
      <c r="L297" s="94" t="n"/>
    </row>
    <row r="298" ht="13.5" customHeight="1">
      <c r="A298" s="94" t="n"/>
      <c r="B298" s="94" t="n"/>
      <c r="C298" s="94" t="n"/>
      <c r="D298" s="94" t="n"/>
      <c r="E298" s="282" t="n"/>
      <c r="F298" s="282" t="n"/>
      <c r="G298" s="94" t="n"/>
      <c r="H298" s="94" t="n"/>
      <c r="I298" s="94" t="n"/>
      <c r="J298" s="94" t="n"/>
      <c r="K298" s="94" t="n"/>
      <c r="L298" s="94" t="n"/>
    </row>
    <row r="299" ht="13.5" customHeight="1">
      <c r="A299" s="94" t="n"/>
      <c r="B299" s="94" t="n"/>
      <c r="C299" s="94" t="n"/>
      <c r="D299" s="94" t="n"/>
      <c r="E299" s="282" t="n"/>
      <c r="F299" s="282" t="n"/>
      <c r="G299" s="94" t="n"/>
      <c r="H299" s="94" t="n"/>
      <c r="I299" s="94" t="n"/>
      <c r="J299" s="94" t="n"/>
      <c r="K299" s="94" t="n"/>
      <c r="L299" s="94" t="n"/>
    </row>
    <row r="300" ht="13.5" customHeight="1">
      <c r="A300" s="94" t="n"/>
      <c r="B300" s="94" t="n"/>
      <c r="C300" s="94" t="n"/>
      <c r="D300" s="94" t="n"/>
      <c r="E300" s="282" t="n"/>
      <c r="F300" s="282" t="n"/>
      <c r="G300" s="94" t="n"/>
      <c r="H300" s="94" t="n"/>
      <c r="I300" s="94" t="n"/>
      <c r="J300" s="94" t="n"/>
      <c r="K300" s="94" t="n"/>
      <c r="L300" s="94" t="n"/>
    </row>
    <row r="301" ht="13.5" customHeight="1">
      <c r="A301" s="94" t="n"/>
      <c r="B301" s="94" t="n"/>
      <c r="C301" s="94" t="n"/>
      <c r="D301" s="94" t="n"/>
      <c r="E301" s="282" t="n"/>
      <c r="F301" s="282" t="n"/>
      <c r="G301" s="94" t="n"/>
      <c r="H301" s="94" t="n"/>
      <c r="I301" s="94" t="n"/>
      <c r="J301" s="94" t="n"/>
      <c r="K301" s="94" t="n"/>
      <c r="L301" s="94" t="n"/>
    </row>
    <row r="302" ht="13.5" customHeight="1">
      <c r="A302" s="94" t="n"/>
      <c r="B302" s="94" t="n"/>
      <c r="C302" s="94" t="n"/>
      <c r="D302" s="94" t="n"/>
      <c r="E302" s="282" t="n"/>
      <c r="F302" s="282" t="n"/>
      <c r="G302" s="94" t="n"/>
      <c r="H302" s="94" t="n"/>
      <c r="I302" s="94" t="n"/>
      <c r="J302" s="94" t="n"/>
      <c r="K302" s="94" t="n"/>
      <c r="L302" s="94" t="n"/>
    </row>
    <row r="303" ht="13.5" customHeight="1">
      <c r="A303" s="94" t="n"/>
      <c r="B303" s="94" t="n"/>
      <c r="C303" s="94" t="n"/>
      <c r="D303" s="94" t="n"/>
      <c r="E303" s="282" t="n"/>
      <c r="F303" s="282" t="n"/>
      <c r="G303" s="94" t="n"/>
      <c r="H303" s="94" t="n"/>
      <c r="I303" s="94" t="n"/>
      <c r="J303" s="94" t="n"/>
      <c r="K303" s="94" t="n"/>
      <c r="L303" s="94" t="n"/>
    </row>
    <row r="304" ht="13.5" customHeight="1">
      <c r="A304" s="94" t="n"/>
      <c r="B304" s="94" t="n"/>
      <c r="C304" s="94" t="n"/>
      <c r="D304" s="94" t="n"/>
      <c r="E304" s="282" t="n"/>
      <c r="F304" s="282" t="n"/>
      <c r="G304" s="94" t="n"/>
      <c r="H304" s="94" t="n"/>
      <c r="I304" s="94" t="n"/>
      <c r="J304" s="94" t="n"/>
      <c r="K304" s="94" t="n"/>
      <c r="L304" s="94" t="n"/>
    </row>
    <row r="305" ht="13.5" customHeight="1">
      <c r="A305" s="94" t="n"/>
      <c r="B305" s="94" t="n"/>
      <c r="C305" s="94" t="n"/>
      <c r="D305" s="94" t="n"/>
      <c r="E305" s="282" t="n"/>
      <c r="F305" s="282" t="n"/>
      <c r="G305" s="94" t="n"/>
      <c r="H305" s="94" t="n"/>
      <c r="I305" s="94" t="n"/>
      <c r="J305" s="94" t="n"/>
      <c r="K305" s="94" t="n"/>
      <c r="L305" s="94" t="n"/>
    </row>
    <row r="306" ht="13.5" customHeight="1">
      <c r="A306" s="94" t="n"/>
      <c r="B306" s="94" t="n"/>
      <c r="C306" s="94" t="n"/>
      <c r="D306" s="94" t="n"/>
      <c r="E306" s="282" t="n"/>
      <c r="F306" s="282" t="n"/>
      <c r="G306" s="94" t="n"/>
      <c r="H306" s="94" t="n"/>
      <c r="I306" s="94" t="n"/>
      <c r="J306" s="94" t="n"/>
      <c r="K306" s="94" t="n"/>
      <c r="L306" s="94" t="n"/>
    </row>
    <row r="307" ht="13.5" customHeight="1">
      <c r="A307" s="94" t="n"/>
      <c r="B307" s="94" t="n"/>
      <c r="C307" s="94" t="n"/>
      <c r="D307" s="94" t="n"/>
      <c r="E307" s="282" t="n"/>
      <c r="F307" s="282" t="n"/>
      <c r="G307" s="94" t="n"/>
      <c r="H307" s="94" t="n"/>
      <c r="I307" s="94" t="n"/>
      <c r="J307" s="94" t="n"/>
      <c r="K307" s="94" t="n"/>
      <c r="L307" s="94" t="n"/>
    </row>
    <row r="308" ht="13.5" customHeight="1">
      <c r="A308" s="94" t="n"/>
      <c r="B308" s="94" t="n"/>
      <c r="C308" s="94" t="n"/>
      <c r="D308" s="94" t="n"/>
      <c r="E308" s="282" t="n"/>
      <c r="F308" s="282" t="n"/>
      <c r="G308" s="94" t="n"/>
      <c r="H308" s="94" t="n"/>
      <c r="I308" s="94" t="n"/>
      <c r="J308" s="94" t="n"/>
      <c r="K308" s="94" t="n"/>
      <c r="L308" s="94" t="n"/>
    </row>
    <row r="309" ht="13.5" customHeight="1">
      <c r="A309" s="94" t="n"/>
      <c r="B309" s="94" t="n"/>
      <c r="C309" s="94" t="n"/>
      <c r="D309" s="94" t="n"/>
      <c r="E309" s="282" t="n"/>
      <c r="F309" s="282" t="n"/>
      <c r="G309" s="94" t="n"/>
      <c r="H309" s="94" t="n"/>
      <c r="I309" s="94" t="n"/>
      <c r="J309" s="94" t="n"/>
      <c r="K309" s="94" t="n"/>
      <c r="L309" s="94" t="n"/>
    </row>
    <row r="310" ht="13.5" customHeight="1">
      <c r="A310" s="94" t="n"/>
      <c r="B310" s="94" t="n"/>
      <c r="C310" s="94" t="n"/>
      <c r="D310" s="94" t="n"/>
      <c r="E310" s="282" t="n"/>
      <c r="F310" s="282" t="n"/>
      <c r="G310" s="94" t="n"/>
      <c r="H310" s="94" t="n"/>
      <c r="I310" s="94" t="n"/>
      <c r="J310" s="94" t="n"/>
      <c r="K310" s="94" t="n"/>
      <c r="L310" s="94" t="n"/>
    </row>
    <row r="311" ht="13.5" customHeight="1">
      <c r="A311" s="94" t="n"/>
      <c r="B311" s="94" t="n"/>
      <c r="C311" s="94" t="n"/>
      <c r="D311" s="94" t="n"/>
      <c r="E311" s="282" t="n"/>
      <c r="F311" s="282" t="n"/>
      <c r="G311" s="94" t="n"/>
      <c r="H311" s="94" t="n"/>
      <c r="I311" s="94" t="n"/>
      <c r="J311" s="94" t="n"/>
      <c r="K311" s="94" t="n"/>
      <c r="L311" s="94" t="n"/>
    </row>
    <row r="312" ht="13.5" customHeight="1">
      <c r="A312" s="94" t="n"/>
      <c r="B312" s="94" t="n"/>
      <c r="C312" s="94" t="n"/>
      <c r="D312" s="94" t="n"/>
      <c r="E312" s="282" t="n"/>
      <c r="F312" s="282" t="n"/>
      <c r="G312" s="94" t="n"/>
      <c r="H312" s="94" t="n"/>
      <c r="I312" s="94" t="n"/>
      <c r="J312" s="94" t="n"/>
      <c r="K312" s="94" t="n"/>
      <c r="L312" s="94" t="n"/>
    </row>
    <row r="313" ht="13.5" customHeight="1">
      <c r="A313" s="94" t="n"/>
      <c r="B313" s="94" t="n"/>
      <c r="C313" s="94" t="n"/>
      <c r="D313" s="94" t="n"/>
      <c r="E313" s="282" t="n"/>
      <c r="F313" s="282" t="n"/>
      <c r="G313" s="94" t="n"/>
      <c r="H313" s="94" t="n"/>
      <c r="I313" s="94" t="n"/>
      <c r="J313" s="94" t="n"/>
      <c r="K313" s="94" t="n"/>
      <c r="L313" s="94" t="n"/>
    </row>
    <row r="314" ht="13.5" customHeight="1">
      <c r="A314" s="94" t="n"/>
      <c r="B314" s="94" t="n"/>
      <c r="C314" s="94" t="n"/>
      <c r="D314" s="94" t="n"/>
      <c r="E314" s="282" t="n"/>
      <c r="F314" s="282" t="n"/>
      <c r="G314" s="94" t="n"/>
      <c r="H314" s="94" t="n"/>
      <c r="I314" s="94" t="n"/>
      <c r="J314" s="94" t="n"/>
      <c r="K314" s="94" t="n"/>
      <c r="L314" s="94" t="n"/>
    </row>
    <row r="315" ht="13.5" customHeight="1">
      <c r="A315" s="94" t="n"/>
      <c r="B315" s="94" t="n"/>
      <c r="C315" s="94" t="n"/>
      <c r="D315" s="94" t="n"/>
      <c r="E315" s="282" t="n"/>
      <c r="F315" s="282" t="n"/>
      <c r="G315" s="94" t="n"/>
      <c r="H315" s="94" t="n"/>
      <c r="I315" s="94" t="n"/>
      <c r="J315" s="94" t="n"/>
      <c r="K315" s="94" t="n"/>
      <c r="L315" s="94" t="n"/>
    </row>
    <row r="316" ht="13.5" customHeight="1">
      <c r="A316" s="94" t="n"/>
      <c r="B316" s="94" t="n"/>
      <c r="C316" s="94" t="n"/>
      <c r="D316" s="94" t="n"/>
      <c r="E316" s="282" t="n"/>
      <c r="F316" s="282" t="n"/>
      <c r="G316" s="94" t="n"/>
      <c r="H316" s="94" t="n"/>
      <c r="I316" s="94" t="n"/>
      <c r="J316" s="94" t="n"/>
      <c r="K316" s="94" t="n"/>
      <c r="L316" s="94" t="n"/>
    </row>
    <row r="317" ht="13.5" customHeight="1">
      <c r="A317" s="94" t="n"/>
      <c r="B317" s="94" t="n"/>
      <c r="C317" s="94" t="n"/>
      <c r="D317" s="94" t="n"/>
      <c r="E317" s="282" t="n"/>
      <c r="F317" s="282" t="n"/>
      <c r="G317" s="94" t="n"/>
      <c r="H317" s="94" t="n"/>
      <c r="I317" s="94" t="n"/>
      <c r="J317" s="94" t="n"/>
      <c r="K317" s="94" t="n"/>
      <c r="L317" s="94" t="n"/>
    </row>
    <row r="318" ht="13.5" customHeight="1">
      <c r="A318" s="94" t="n"/>
      <c r="B318" s="94" t="n"/>
      <c r="C318" s="94" t="n"/>
      <c r="D318" s="94" t="n"/>
      <c r="E318" s="282" t="n"/>
      <c r="F318" s="282" t="n"/>
      <c r="G318" s="94" t="n"/>
      <c r="H318" s="94" t="n"/>
      <c r="I318" s="94" t="n"/>
      <c r="J318" s="94" t="n"/>
      <c r="K318" s="94" t="n"/>
      <c r="L318" s="94" t="n"/>
    </row>
    <row r="319" ht="13.5" customHeight="1">
      <c r="A319" s="94" t="n"/>
      <c r="B319" s="94" t="n"/>
      <c r="C319" s="94" t="n"/>
      <c r="D319" s="94" t="n"/>
      <c r="E319" s="282" t="n"/>
      <c r="F319" s="282" t="n"/>
      <c r="G319" s="94" t="n"/>
      <c r="H319" s="94" t="n"/>
      <c r="I319" s="94" t="n"/>
      <c r="J319" s="94" t="n"/>
      <c r="K319" s="94" t="n"/>
      <c r="L319" s="94" t="n"/>
    </row>
    <row r="320" ht="13.5" customHeight="1">
      <c r="A320" s="94" t="n"/>
      <c r="B320" s="94" t="n"/>
      <c r="C320" s="94" t="n"/>
      <c r="D320" s="94" t="n"/>
      <c r="E320" s="282" t="n"/>
      <c r="F320" s="282" t="n"/>
      <c r="G320" s="94" t="n"/>
      <c r="H320" s="94" t="n"/>
      <c r="I320" s="94" t="n"/>
      <c r="J320" s="94" t="n"/>
      <c r="K320" s="94" t="n"/>
      <c r="L320" s="94" t="n"/>
    </row>
    <row r="321" ht="13.5" customHeight="1">
      <c r="A321" s="94" t="n"/>
      <c r="B321" s="94" t="n"/>
      <c r="C321" s="94" t="n"/>
      <c r="D321" s="94" t="n"/>
      <c r="E321" s="282" t="n"/>
      <c r="F321" s="282" t="n"/>
      <c r="G321" s="94" t="n"/>
      <c r="H321" s="94" t="n"/>
      <c r="I321" s="94" t="n"/>
      <c r="J321" s="94" t="n"/>
      <c r="K321" s="94" t="n"/>
      <c r="L321" s="94" t="n"/>
    </row>
    <row r="322" ht="13.5" customHeight="1">
      <c r="A322" s="94" t="n"/>
      <c r="B322" s="94" t="n"/>
      <c r="C322" s="94" t="n"/>
      <c r="D322" s="94" t="n"/>
      <c r="E322" s="282" t="n"/>
      <c r="F322" s="282" t="n"/>
      <c r="G322" s="94" t="n"/>
      <c r="H322" s="94" t="n"/>
      <c r="I322" s="94" t="n"/>
      <c r="J322" s="94" t="n"/>
      <c r="K322" s="94" t="n"/>
      <c r="L322" s="94" t="n"/>
    </row>
    <row r="323" ht="13.5" customHeight="1">
      <c r="A323" s="94" t="n"/>
      <c r="B323" s="94" t="n"/>
      <c r="C323" s="94" t="n"/>
      <c r="D323" s="94" t="n"/>
      <c r="E323" s="282" t="n"/>
      <c r="F323" s="282" t="n"/>
      <c r="G323" s="94" t="n"/>
      <c r="H323" s="94" t="n"/>
      <c r="I323" s="94" t="n"/>
      <c r="J323" s="94" t="n"/>
      <c r="K323" s="94" t="n"/>
      <c r="L323" s="94" t="n"/>
    </row>
    <row r="324" ht="13.5" customHeight="1">
      <c r="A324" s="94" t="n"/>
      <c r="B324" s="94" t="n"/>
      <c r="C324" s="94" t="n"/>
      <c r="D324" s="94" t="n"/>
      <c r="E324" s="282" t="n"/>
      <c r="F324" s="282" t="n"/>
      <c r="G324" s="94" t="n"/>
      <c r="H324" s="94" t="n"/>
      <c r="I324" s="94" t="n"/>
      <c r="J324" s="94" t="n"/>
      <c r="K324" s="94" t="n"/>
      <c r="L324" s="94" t="n"/>
    </row>
    <row r="325" ht="13.5" customHeight="1">
      <c r="A325" s="94" t="n"/>
      <c r="B325" s="94" t="n"/>
      <c r="C325" s="94" t="n"/>
      <c r="D325" s="94" t="n"/>
      <c r="E325" s="282" t="n"/>
      <c r="F325" s="282" t="n"/>
      <c r="G325" s="94" t="n"/>
      <c r="H325" s="94" t="n"/>
      <c r="I325" s="94" t="n"/>
      <c r="J325" s="94" t="n"/>
      <c r="K325" s="94" t="n"/>
      <c r="L325" s="94" t="n"/>
    </row>
    <row r="326" ht="13.5" customHeight="1">
      <c r="A326" s="94" t="n"/>
      <c r="B326" s="94" t="n"/>
      <c r="C326" s="94" t="n"/>
      <c r="D326" s="94" t="n"/>
      <c r="E326" s="282" t="n"/>
      <c r="F326" s="282" t="n"/>
      <c r="G326" s="94" t="n"/>
      <c r="H326" s="94" t="n"/>
      <c r="I326" s="94" t="n"/>
      <c r="J326" s="94" t="n"/>
      <c r="K326" s="94" t="n"/>
      <c r="L326" s="94" t="n"/>
    </row>
    <row r="327" ht="13.5" customHeight="1">
      <c r="A327" s="94" t="n"/>
      <c r="B327" s="94" t="n"/>
      <c r="C327" s="94" t="n"/>
      <c r="D327" s="94" t="n"/>
      <c r="E327" s="282" t="n"/>
      <c r="F327" s="282" t="n"/>
      <c r="G327" s="94" t="n"/>
      <c r="H327" s="94" t="n"/>
      <c r="I327" s="94" t="n"/>
      <c r="J327" s="94" t="n"/>
      <c r="K327" s="94" t="n"/>
      <c r="L327" s="94" t="n"/>
    </row>
    <row r="328" ht="13.5" customHeight="1">
      <c r="A328" s="94" t="n"/>
      <c r="B328" s="94" t="n"/>
      <c r="C328" s="94" t="n"/>
      <c r="D328" s="94" t="n"/>
      <c r="E328" s="282" t="n"/>
      <c r="F328" s="282" t="n"/>
      <c r="G328" s="94" t="n"/>
      <c r="H328" s="94" t="n"/>
      <c r="I328" s="94" t="n"/>
      <c r="J328" s="94" t="n"/>
      <c r="K328" s="94" t="n"/>
      <c r="L328" s="94" t="n"/>
    </row>
    <row r="329" ht="13.5" customHeight="1">
      <c r="A329" s="94" t="n"/>
      <c r="B329" s="94" t="n"/>
      <c r="C329" s="94" t="n"/>
      <c r="D329" s="94" t="n"/>
      <c r="E329" s="282" t="n"/>
      <c r="F329" s="282" t="n"/>
      <c r="G329" s="94" t="n"/>
      <c r="H329" s="94" t="n"/>
      <c r="I329" s="94" t="n"/>
      <c r="J329" s="94" t="n"/>
      <c r="K329" s="94" t="n"/>
      <c r="L329" s="94" t="n"/>
    </row>
    <row r="330" ht="13.5" customHeight="1">
      <c r="A330" s="94" t="n"/>
      <c r="B330" s="94" t="n"/>
      <c r="C330" s="94" t="n"/>
      <c r="D330" s="94" t="n"/>
      <c r="E330" s="282" t="n"/>
      <c r="F330" s="282" t="n"/>
      <c r="G330" s="94" t="n"/>
      <c r="H330" s="94" t="n"/>
      <c r="I330" s="94" t="n"/>
      <c r="J330" s="94" t="n"/>
      <c r="K330" s="94" t="n"/>
      <c r="L330" s="94" t="n"/>
    </row>
    <row r="331" ht="13.5" customHeight="1">
      <c r="A331" s="94" t="n"/>
      <c r="B331" s="94" t="n"/>
      <c r="C331" s="94" t="n"/>
      <c r="D331" s="94" t="n"/>
      <c r="E331" s="282" t="n"/>
      <c r="F331" s="282" t="n"/>
      <c r="G331" s="94" t="n"/>
      <c r="H331" s="94" t="n"/>
      <c r="I331" s="94" t="n"/>
      <c r="J331" s="94" t="n"/>
      <c r="K331" s="94" t="n"/>
      <c r="L331" s="94" t="n"/>
    </row>
    <row r="332" ht="13.5" customHeight="1">
      <c r="A332" s="94" t="n"/>
      <c r="B332" s="94" t="n"/>
      <c r="C332" s="94" t="n"/>
      <c r="D332" s="94" t="n"/>
      <c r="E332" s="282" t="n"/>
      <c r="F332" s="282" t="n"/>
      <c r="G332" s="94" t="n"/>
      <c r="H332" s="94" t="n"/>
      <c r="I332" s="94" t="n"/>
      <c r="J332" s="94" t="n"/>
      <c r="K332" s="94" t="n"/>
      <c r="L332" s="94" t="n"/>
    </row>
    <row r="333" ht="13.5" customHeight="1">
      <c r="A333" s="94" t="n"/>
      <c r="B333" s="94" t="n"/>
      <c r="C333" s="94" t="n"/>
      <c r="D333" s="94" t="n"/>
      <c r="E333" s="282" t="n"/>
      <c r="F333" s="282" t="n"/>
      <c r="G333" s="94" t="n"/>
      <c r="H333" s="94" t="n"/>
      <c r="I333" s="94" t="n"/>
      <c r="J333" s="94" t="n"/>
      <c r="K333" s="94" t="n"/>
      <c r="L333" s="94" t="n"/>
    </row>
    <row r="334" ht="13.5" customHeight="1">
      <c r="A334" s="94" t="n"/>
      <c r="B334" s="94" t="n"/>
      <c r="C334" s="94" t="n"/>
      <c r="D334" s="94" t="n"/>
      <c r="E334" s="282" t="n"/>
      <c r="F334" s="282" t="n"/>
      <c r="G334" s="94" t="n"/>
      <c r="H334" s="94" t="n"/>
      <c r="I334" s="94" t="n"/>
      <c r="J334" s="94" t="n"/>
      <c r="K334" s="94" t="n"/>
      <c r="L334" s="94" t="n"/>
    </row>
    <row r="335" ht="13.5" customHeight="1">
      <c r="A335" s="94" t="n"/>
      <c r="B335" s="94" t="n"/>
      <c r="C335" s="94" t="n"/>
      <c r="D335" s="94" t="n"/>
      <c r="E335" s="282" t="n"/>
      <c r="F335" s="282" t="n"/>
      <c r="G335" s="94" t="n"/>
      <c r="H335" s="94" t="n"/>
      <c r="I335" s="94" t="n"/>
      <c r="J335" s="94" t="n"/>
      <c r="K335" s="94" t="n"/>
      <c r="L335" s="94" t="n"/>
    </row>
    <row r="336" ht="13.5" customHeight="1">
      <c r="A336" s="94" t="n"/>
      <c r="B336" s="94" t="n"/>
      <c r="C336" s="94" t="n"/>
      <c r="D336" s="94" t="n"/>
      <c r="E336" s="282" t="n"/>
      <c r="F336" s="282" t="n"/>
      <c r="G336" s="94" t="n"/>
      <c r="H336" s="94" t="n"/>
      <c r="I336" s="94" t="n"/>
      <c r="J336" s="94" t="n"/>
      <c r="K336" s="94" t="n"/>
      <c r="L336" s="94" t="n"/>
    </row>
    <row r="337" ht="13.5" customHeight="1">
      <c r="A337" s="94" t="n"/>
      <c r="B337" s="94" t="n"/>
      <c r="C337" s="94" t="n"/>
      <c r="D337" s="94" t="n"/>
      <c r="E337" s="282" t="n"/>
      <c r="F337" s="282" t="n"/>
      <c r="G337" s="94" t="n"/>
      <c r="H337" s="94" t="n"/>
      <c r="I337" s="94" t="n"/>
      <c r="J337" s="94" t="n"/>
      <c r="K337" s="94" t="n"/>
      <c r="L337" s="94" t="n"/>
    </row>
    <row r="338" ht="13.5" customHeight="1">
      <c r="A338" s="94" t="n"/>
      <c r="B338" s="94" t="n"/>
      <c r="C338" s="94" t="n"/>
      <c r="D338" s="94" t="n"/>
      <c r="E338" s="282" t="n"/>
      <c r="F338" s="282" t="n"/>
      <c r="G338" s="94" t="n"/>
      <c r="H338" s="94" t="n"/>
      <c r="I338" s="94" t="n"/>
      <c r="J338" s="94" t="n"/>
      <c r="K338" s="94" t="n"/>
      <c r="L338" s="94" t="n"/>
    </row>
    <row r="339" ht="13.5" customHeight="1">
      <c r="A339" s="94" t="n"/>
      <c r="B339" s="94" t="n"/>
      <c r="C339" s="94" t="n"/>
      <c r="D339" s="94" t="n"/>
      <c r="E339" s="282" t="n"/>
      <c r="F339" s="282" t="n"/>
      <c r="G339" s="94" t="n"/>
      <c r="H339" s="94" t="n"/>
      <c r="I339" s="94" t="n"/>
      <c r="J339" s="94" t="n"/>
      <c r="K339" s="94" t="n"/>
      <c r="L339" s="94" t="n"/>
    </row>
    <row r="340" ht="13.5" customHeight="1">
      <c r="A340" s="94" t="n"/>
      <c r="B340" s="94" t="n"/>
      <c r="C340" s="94" t="n"/>
      <c r="D340" s="94" t="n"/>
      <c r="E340" s="282" t="n"/>
      <c r="F340" s="282" t="n"/>
      <c r="G340" s="94" t="n"/>
      <c r="H340" s="94" t="n"/>
      <c r="I340" s="94" t="n"/>
      <c r="J340" s="94" t="n"/>
      <c r="K340" s="94" t="n"/>
      <c r="L340" s="94" t="n"/>
    </row>
    <row r="341" ht="13.5" customHeight="1">
      <c r="A341" s="94" t="n"/>
      <c r="B341" s="94" t="n"/>
      <c r="C341" s="94" t="n"/>
      <c r="D341" s="94" t="n"/>
      <c r="E341" s="282" t="n"/>
      <c r="F341" s="282" t="n"/>
      <c r="G341" s="94" t="n"/>
      <c r="H341" s="94" t="n"/>
      <c r="I341" s="94" t="n"/>
      <c r="J341" s="94" t="n"/>
      <c r="K341" s="94" t="n"/>
      <c r="L341" s="94" t="n"/>
    </row>
    <row r="342" ht="13.5" customHeight="1">
      <c r="A342" s="94" t="n"/>
      <c r="B342" s="94" t="n"/>
      <c r="C342" s="94" t="n"/>
      <c r="D342" s="94" t="n"/>
      <c r="E342" s="282" t="n"/>
      <c r="F342" s="282" t="n"/>
      <c r="G342" s="94" t="n"/>
      <c r="H342" s="94" t="n"/>
      <c r="I342" s="94" t="n"/>
      <c r="J342" s="94" t="n"/>
      <c r="K342" s="94" t="n"/>
      <c r="L342" s="94" t="n"/>
    </row>
    <row r="343" ht="13.5" customHeight="1">
      <c r="A343" s="94" t="n"/>
      <c r="B343" s="94" t="n"/>
      <c r="C343" s="94" t="n"/>
      <c r="D343" s="94" t="n"/>
      <c r="E343" s="282" t="n"/>
      <c r="F343" s="282" t="n"/>
      <c r="G343" s="94" t="n"/>
      <c r="H343" s="94" t="n"/>
      <c r="I343" s="94" t="n"/>
      <c r="J343" s="94" t="n"/>
      <c r="K343" s="94" t="n"/>
      <c r="L343" s="94" t="n"/>
    </row>
    <row r="344" ht="13.5" customHeight="1">
      <c r="A344" s="94" t="n"/>
      <c r="B344" s="94" t="n"/>
      <c r="C344" s="94" t="n"/>
      <c r="D344" s="94" t="n"/>
      <c r="E344" s="282" t="n"/>
      <c r="F344" s="282" t="n"/>
      <c r="G344" s="94" t="n"/>
      <c r="H344" s="94" t="n"/>
      <c r="I344" s="94" t="n"/>
      <c r="J344" s="94" t="n"/>
      <c r="K344" s="94" t="n"/>
      <c r="L344" s="94" t="n"/>
    </row>
    <row r="345" ht="13.5" customHeight="1">
      <c r="A345" s="94" t="n"/>
      <c r="B345" s="94" t="n"/>
      <c r="C345" s="94" t="n"/>
      <c r="D345" s="94" t="n"/>
      <c r="E345" s="282" t="n"/>
      <c r="F345" s="282" t="n"/>
      <c r="G345" s="94" t="n"/>
      <c r="H345" s="94" t="n"/>
      <c r="I345" s="94" t="n"/>
      <c r="J345" s="94" t="n"/>
      <c r="K345" s="94" t="n"/>
      <c r="L345" s="94" t="n"/>
    </row>
    <row r="346" ht="13.5" customHeight="1">
      <c r="A346" s="94" t="n"/>
      <c r="B346" s="94" t="n"/>
      <c r="C346" s="94" t="n"/>
      <c r="D346" s="94" t="n"/>
      <c r="E346" s="282" t="n"/>
      <c r="F346" s="282" t="n"/>
      <c r="G346" s="94" t="n"/>
      <c r="H346" s="94" t="n"/>
      <c r="I346" s="94" t="n"/>
      <c r="J346" s="94" t="n"/>
      <c r="K346" s="94" t="n"/>
      <c r="L346" s="94" t="n"/>
    </row>
    <row r="347" ht="13.5" customHeight="1">
      <c r="A347" s="94" t="n"/>
      <c r="B347" s="94" t="n"/>
      <c r="C347" s="94" t="n"/>
      <c r="D347" s="94" t="n"/>
      <c r="E347" s="282" t="n"/>
      <c r="F347" s="282" t="n"/>
      <c r="G347" s="94" t="n"/>
      <c r="H347" s="94" t="n"/>
      <c r="I347" s="94" t="n"/>
      <c r="J347" s="94" t="n"/>
      <c r="K347" s="94" t="n"/>
      <c r="L347" s="94" t="n"/>
    </row>
    <row r="348" ht="13.5" customHeight="1">
      <c r="A348" s="94" t="n"/>
      <c r="B348" s="94" t="n"/>
      <c r="C348" s="94" t="n"/>
      <c r="D348" s="94" t="n"/>
      <c r="E348" s="282" t="n"/>
      <c r="F348" s="282" t="n"/>
      <c r="G348" s="94" t="n"/>
      <c r="H348" s="94" t="n"/>
      <c r="I348" s="94" t="n"/>
      <c r="J348" s="94" t="n"/>
      <c r="K348" s="94" t="n"/>
      <c r="L348" s="94" t="n"/>
    </row>
    <row r="349" ht="13.5" customHeight="1">
      <c r="A349" s="94" t="n"/>
      <c r="B349" s="94" t="n"/>
      <c r="C349" s="94" t="n"/>
      <c r="D349" s="94" t="n"/>
      <c r="E349" s="282" t="n"/>
      <c r="F349" s="282" t="n"/>
      <c r="G349" s="94" t="n"/>
      <c r="H349" s="94" t="n"/>
      <c r="I349" s="94" t="n"/>
      <c r="J349" s="94" t="n"/>
      <c r="K349" s="94" t="n"/>
      <c r="L349" s="94" t="n"/>
    </row>
    <row r="350" ht="13.5" customHeight="1">
      <c r="A350" s="94" t="n"/>
      <c r="B350" s="94" t="n"/>
      <c r="C350" s="94" t="n"/>
      <c r="D350" s="94" t="n"/>
      <c r="E350" s="282" t="n"/>
      <c r="F350" s="282" t="n"/>
      <c r="G350" s="94" t="n"/>
      <c r="H350" s="94" t="n"/>
      <c r="I350" s="94" t="n"/>
      <c r="J350" s="94" t="n"/>
      <c r="K350" s="94" t="n"/>
      <c r="L350" s="94" t="n"/>
    </row>
    <row r="351" ht="13.5" customHeight="1">
      <c r="A351" s="94" t="n"/>
      <c r="B351" s="94" t="n"/>
      <c r="C351" s="94" t="n"/>
      <c r="D351" s="94" t="n"/>
      <c r="E351" s="282" t="n"/>
      <c r="F351" s="282" t="n"/>
      <c r="G351" s="94" t="n"/>
      <c r="H351" s="94" t="n"/>
      <c r="I351" s="94" t="n"/>
      <c r="J351" s="94" t="n"/>
      <c r="K351" s="94" t="n"/>
      <c r="L351" s="94" t="n"/>
    </row>
    <row r="352" ht="13.5" customHeight="1">
      <c r="A352" s="94" t="n"/>
      <c r="B352" s="94" t="n"/>
      <c r="C352" s="94" t="n"/>
      <c r="D352" s="94" t="n"/>
      <c r="E352" s="282" t="n"/>
      <c r="F352" s="282" t="n"/>
      <c r="G352" s="94" t="n"/>
      <c r="H352" s="94" t="n"/>
      <c r="I352" s="94" t="n"/>
      <c r="J352" s="94" t="n"/>
      <c r="K352" s="94" t="n"/>
      <c r="L352" s="94" t="n"/>
    </row>
    <row r="353" ht="13.5" customHeight="1">
      <c r="A353" s="94" t="n"/>
      <c r="B353" s="94" t="n"/>
      <c r="C353" s="94" t="n"/>
      <c r="D353" s="94" t="n"/>
      <c r="E353" s="282" t="n"/>
      <c r="F353" s="282" t="n"/>
      <c r="G353" s="94" t="n"/>
      <c r="H353" s="94" t="n"/>
      <c r="I353" s="94" t="n"/>
      <c r="J353" s="94" t="n"/>
      <c r="K353" s="94" t="n"/>
      <c r="L353" s="94" t="n"/>
    </row>
    <row r="354" ht="13.5" customHeight="1">
      <c r="A354" s="94" t="n"/>
      <c r="B354" s="94" t="n"/>
      <c r="C354" s="94" t="n"/>
      <c r="D354" s="94" t="n"/>
      <c r="E354" s="282" t="n"/>
      <c r="F354" s="282" t="n"/>
      <c r="G354" s="94" t="n"/>
      <c r="H354" s="94" t="n"/>
      <c r="I354" s="94" t="n"/>
      <c r="J354" s="94" t="n"/>
      <c r="K354" s="94" t="n"/>
      <c r="L354" s="94" t="n"/>
    </row>
    <row r="355" ht="13.5" customHeight="1">
      <c r="A355" s="94" t="n"/>
      <c r="B355" s="94" t="n"/>
      <c r="C355" s="94" t="n"/>
      <c r="D355" s="94" t="n"/>
      <c r="E355" s="282" t="n"/>
      <c r="F355" s="282" t="n"/>
      <c r="G355" s="94" t="n"/>
      <c r="H355" s="94" t="n"/>
      <c r="I355" s="94" t="n"/>
      <c r="J355" s="94" t="n"/>
      <c r="K355" s="94" t="n"/>
      <c r="L355" s="94" t="n"/>
    </row>
    <row r="356" ht="13.5" customHeight="1">
      <c r="A356" s="94" t="n"/>
      <c r="B356" s="94" t="n"/>
      <c r="C356" s="94" t="n"/>
      <c r="D356" s="94" t="n"/>
      <c r="E356" s="282" t="n"/>
      <c r="F356" s="282" t="n"/>
      <c r="G356" s="94" t="n"/>
      <c r="H356" s="94" t="n"/>
      <c r="I356" s="94" t="n"/>
      <c r="J356" s="94" t="n"/>
      <c r="K356" s="94" t="n"/>
      <c r="L356" s="94" t="n"/>
    </row>
    <row r="357" ht="13.5" customHeight="1">
      <c r="A357" s="94" t="n"/>
      <c r="B357" s="94" t="n"/>
      <c r="C357" s="94" t="n"/>
      <c r="D357" s="94" t="n"/>
      <c r="E357" s="282" t="n"/>
      <c r="F357" s="282" t="n"/>
      <c r="G357" s="94" t="n"/>
      <c r="H357" s="94" t="n"/>
      <c r="I357" s="94" t="n"/>
      <c r="J357" s="94" t="n"/>
      <c r="K357" s="94" t="n"/>
      <c r="L357" s="94" t="n"/>
    </row>
    <row r="358" ht="13.5" customHeight="1">
      <c r="A358" s="94" t="n"/>
      <c r="B358" s="94" t="n"/>
      <c r="C358" s="94" t="n"/>
      <c r="D358" s="94" t="n"/>
      <c r="E358" s="282" t="n"/>
      <c r="F358" s="282" t="n"/>
      <c r="G358" s="94" t="n"/>
      <c r="H358" s="94" t="n"/>
      <c r="I358" s="94" t="n"/>
      <c r="J358" s="94" t="n"/>
      <c r="K358" s="94" t="n"/>
      <c r="L358" s="94" t="n"/>
    </row>
    <row r="359" ht="13.5" customHeight="1">
      <c r="A359" s="94" t="n"/>
      <c r="B359" s="94" t="n"/>
      <c r="C359" s="94" t="n"/>
      <c r="D359" s="94" t="n"/>
      <c r="E359" s="282" t="n"/>
      <c r="F359" s="282" t="n"/>
      <c r="G359" s="94" t="n"/>
      <c r="H359" s="94" t="n"/>
      <c r="I359" s="94" t="n"/>
      <c r="J359" s="94" t="n"/>
      <c r="K359" s="94" t="n"/>
      <c r="L359" s="94" t="n"/>
    </row>
    <row r="360" ht="13.5" customHeight="1">
      <c r="A360" s="94" t="n"/>
      <c r="B360" s="94" t="n"/>
      <c r="C360" s="94" t="n"/>
      <c r="D360" s="94" t="n"/>
      <c r="E360" s="282" t="n"/>
      <c r="F360" s="282" t="n"/>
      <c r="G360" s="94" t="n"/>
      <c r="H360" s="94" t="n"/>
      <c r="I360" s="94" t="n"/>
      <c r="J360" s="94" t="n"/>
      <c r="K360" s="94" t="n"/>
      <c r="L360" s="94" t="n"/>
    </row>
    <row r="361" ht="13.5" customHeight="1">
      <c r="A361" s="94" t="n"/>
      <c r="B361" s="94" t="n"/>
      <c r="C361" s="94" t="n"/>
      <c r="D361" s="94" t="n"/>
      <c r="E361" s="282" t="n"/>
      <c r="F361" s="282" t="n"/>
      <c r="G361" s="94" t="n"/>
      <c r="H361" s="94" t="n"/>
      <c r="I361" s="94" t="n"/>
      <c r="J361" s="94" t="n"/>
      <c r="K361" s="94" t="n"/>
      <c r="L361" s="94" t="n"/>
    </row>
    <row r="362" ht="13.5" customHeight="1">
      <c r="A362" s="94" t="n"/>
      <c r="B362" s="94" t="n"/>
      <c r="C362" s="94" t="n"/>
      <c r="D362" s="94" t="n"/>
      <c r="E362" s="282" t="n"/>
      <c r="F362" s="282" t="n"/>
      <c r="G362" s="94" t="n"/>
      <c r="H362" s="94" t="n"/>
      <c r="I362" s="94" t="n"/>
      <c r="J362" s="94" t="n"/>
      <c r="K362" s="94" t="n"/>
      <c r="L362" s="94" t="n"/>
    </row>
    <row r="363" ht="13.5" customHeight="1">
      <c r="A363" s="94" t="n"/>
      <c r="B363" s="94" t="n"/>
      <c r="C363" s="94" t="n"/>
      <c r="D363" s="94" t="n"/>
      <c r="E363" s="282" t="n"/>
      <c r="F363" s="282" t="n"/>
      <c r="G363" s="94" t="n"/>
      <c r="H363" s="94" t="n"/>
      <c r="I363" s="94" t="n"/>
      <c r="J363" s="94" t="n"/>
      <c r="K363" s="94" t="n"/>
      <c r="L363" s="94" t="n"/>
    </row>
    <row r="364" ht="13.5" customHeight="1">
      <c r="A364" s="94" t="n"/>
      <c r="B364" s="94" t="n"/>
      <c r="C364" s="94" t="n"/>
      <c r="D364" s="94" t="n"/>
      <c r="E364" s="282" t="n"/>
      <c r="F364" s="282" t="n"/>
      <c r="G364" s="94" t="n"/>
      <c r="H364" s="94" t="n"/>
      <c r="I364" s="94" t="n"/>
      <c r="J364" s="94" t="n"/>
      <c r="K364" s="94" t="n"/>
      <c r="L364" s="94" t="n"/>
    </row>
    <row r="365" ht="13.5" customHeight="1">
      <c r="A365" s="94" t="n"/>
      <c r="B365" s="94" t="n"/>
      <c r="C365" s="94" t="n"/>
      <c r="D365" s="94" t="n"/>
      <c r="E365" s="282" t="n"/>
      <c r="F365" s="282" t="n"/>
      <c r="G365" s="94" t="n"/>
      <c r="H365" s="94" t="n"/>
      <c r="I365" s="94" t="n"/>
      <c r="J365" s="94" t="n"/>
      <c r="K365" s="94" t="n"/>
      <c r="L365" s="94" t="n"/>
    </row>
    <row r="366" ht="13.5" customHeight="1">
      <c r="A366" s="94" t="n"/>
      <c r="B366" s="94" t="n"/>
      <c r="C366" s="94" t="n"/>
      <c r="D366" s="94" t="n"/>
      <c r="E366" s="282" t="n"/>
      <c r="F366" s="282" t="n"/>
      <c r="G366" s="94" t="n"/>
      <c r="H366" s="94" t="n"/>
      <c r="I366" s="94" t="n"/>
      <c r="J366" s="94" t="n"/>
      <c r="K366" s="94" t="n"/>
      <c r="L366" s="94" t="n"/>
    </row>
    <row r="367" ht="13.5" customHeight="1">
      <c r="A367" s="94" t="n"/>
      <c r="B367" s="94" t="n"/>
      <c r="C367" s="94" t="n"/>
      <c r="D367" s="94" t="n"/>
      <c r="E367" s="282" t="n"/>
      <c r="F367" s="282" t="n"/>
      <c r="G367" s="94" t="n"/>
      <c r="H367" s="94" t="n"/>
      <c r="I367" s="94" t="n"/>
      <c r="J367" s="94" t="n"/>
      <c r="K367" s="94" t="n"/>
      <c r="L367" s="94" t="n"/>
    </row>
    <row r="368" ht="13.5" customHeight="1">
      <c r="A368" s="94" t="n"/>
      <c r="B368" s="94" t="n"/>
      <c r="C368" s="94" t="n"/>
      <c r="D368" s="94" t="n"/>
      <c r="E368" s="282" t="n"/>
      <c r="F368" s="282" t="n"/>
      <c r="G368" s="94" t="n"/>
      <c r="H368" s="94" t="n"/>
      <c r="I368" s="94" t="n"/>
      <c r="J368" s="94" t="n"/>
      <c r="K368" s="94" t="n"/>
      <c r="L368" s="94" t="n"/>
    </row>
    <row r="369" ht="13.5" customHeight="1">
      <c r="A369" s="94" t="n"/>
      <c r="B369" s="94" t="n"/>
      <c r="C369" s="94" t="n"/>
      <c r="D369" s="94" t="n"/>
      <c r="E369" s="282" t="n"/>
      <c r="F369" s="282" t="n"/>
      <c r="G369" s="94" t="n"/>
      <c r="H369" s="94" t="n"/>
      <c r="I369" s="94" t="n"/>
      <c r="J369" s="94" t="n"/>
      <c r="K369" s="94" t="n"/>
      <c r="L369" s="94" t="n"/>
    </row>
    <row r="370" ht="13.5" customHeight="1">
      <c r="A370" s="94" t="n"/>
      <c r="B370" s="94" t="n"/>
      <c r="C370" s="94" t="n"/>
      <c r="D370" s="94" t="n"/>
      <c r="E370" s="282" t="n"/>
      <c r="F370" s="282" t="n"/>
      <c r="G370" s="94" t="n"/>
      <c r="H370" s="94" t="n"/>
      <c r="I370" s="94" t="n"/>
      <c r="J370" s="94" t="n"/>
      <c r="K370" s="94" t="n"/>
      <c r="L370" s="94" t="n"/>
    </row>
    <row r="371" ht="13.5" customHeight="1">
      <c r="A371" s="94" t="n"/>
      <c r="B371" s="94" t="n"/>
      <c r="C371" s="94" t="n"/>
      <c r="D371" s="94" t="n"/>
      <c r="E371" s="282" t="n"/>
      <c r="F371" s="282" t="n"/>
      <c r="G371" s="94" t="n"/>
      <c r="H371" s="94" t="n"/>
      <c r="I371" s="94" t="n"/>
      <c r="J371" s="94" t="n"/>
      <c r="K371" s="94" t="n"/>
      <c r="L371" s="94" t="n"/>
    </row>
    <row r="372" ht="13.5" customHeight="1">
      <c r="A372" s="94" t="n"/>
      <c r="B372" s="94" t="n"/>
      <c r="C372" s="94" t="n"/>
      <c r="D372" s="94" t="n"/>
      <c r="E372" s="282" t="n"/>
      <c r="F372" s="282" t="n"/>
      <c r="G372" s="94" t="n"/>
      <c r="H372" s="94" t="n"/>
      <c r="I372" s="94" t="n"/>
      <c r="J372" s="94" t="n"/>
      <c r="K372" s="94" t="n"/>
      <c r="L372" s="94" t="n"/>
    </row>
    <row r="373" ht="13.5" customHeight="1">
      <c r="A373" s="94" t="n"/>
      <c r="B373" s="94" t="n"/>
      <c r="C373" s="94" t="n"/>
      <c r="D373" s="94" t="n"/>
      <c r="E373" s="282" t="n"/>
      <c r="F373" s="282" t="n"/>
      <c r="G373" s="94" t="n"/>
      <c r="H373" s="94" t="n"/>
      <c r="I373" s="94" t="n"/>
      <c r="J373" s="94" t="n"/>
      <c r="K373" s="94" t="n"/>
      <c r="L373" s="94" t="n"/>
    </row>
    <row r="374" ht="13.5" customHeight="1">
      <c r="A374" s="94" t="n"/>
      <c r="B374" s="94" t="n"/>
      <c r="C374" s="94" t="n"/>
      <c r="D374" s="94" t="n"/>
      <c r="E374" s="282" t="n"/>
      <c r="F374" s="282" t="n"/>
      <c r="G374" s="94" t="n"/>
      <c r="H374" s="94" t="n"/>
      <c r="I374" s="94" t="n"/>
      <c r="J374" s="94" t="n"/>
      <c r="K374" s="94" t="n"/>
      <c r="L374" s="94" t="n"/>
    </row>
    <row r="375" ht="13.5" customHeight="1">
      <c r="A375" s="94" t="n"/>
      <c r="B375" s="94" t="n"/>
      <c r="C375" s="94" t="n"/>
      <c r="D375" s="94" t="n"/>
      <c r="E375" s="282" t="n"/>
      <c r="F375" s="282" t="n"/>
      <c r="G375" s="94" t="n"/>
      <c r="H375" s="94" t="n"/>
      <c r="I375" s="94" t="n"/>
      <c r="J375" s="94" t="n"/>
      <c r="K375" s="94" t="n"/>
      <c r="L375" s="94" t="n"/>
    </row>
    <row r="376" ht="13.5" customHeight="1">
      <c r="A376" s="94" t="n"/>
      <c r="B376" s="94" t="n"/>
      <c r="C376" s="94" t="n"/>
      <c r="D376" s="94" t="n"/>
      <c r="E376" s="282" t="n"/>
      <c r="F376" s="282" t="n"/>
      <c r="G376" s="94" t="n"/>
      <c r="H376" s="94" t="n"/>
      <c r="I376" s="94" t="n"/>
      <c r="J376" s="94" t="n"/>
      <c r="K376" s="94" t="n"/>
      <c r="L376" s="94" t="n"/>
    </row>
    <row r="377" ht="13.5" customHeight="1">
      <c r="A377" s="94" t="n"/>
      <c r="B377" s="94" t="n"/>
      <c r="C377" s="94" t="n"/>
      <c r="D377" s="94" t="n"/>
      <c r="E377" s="282" t="n"/>
      <c r="F377" s="282" t="n"/>
      <c r="G377" s="94" t="n"/>
      <c r="H377" s="94" t="n"/>
      <c r="I377" s="94" t="n"/>
      <c r="J377" s="94" t="n"/>
      <c r="K377" s="94" t="n"/>
      <c r="L377" s="94" t="n"/>
    </row>
    <row r="378" ht="13.5" customHeight="1">
      <c r="A378" s="94" t="n"/>
      <c r="B378" s="94" t="n"/>
      <c r="C378" s="94" t="n"/>
      <c r="D378" s="94" t="n"/>
      <c r="E378" s="282" t="n"/>
      <c r="F378" s="282" t="n"/>
      <c r="G378" s="94" t="n"/>
      <c r="H378" s="94" t="n"/>
      <c r="I378" s="94" t="n"/>
      <c r="J378" s="94" t="n"/>
      <c r="K378" s="94" t="n"/>
      <c r="L378" s="94" t="n"/>
    </row>
    <row r="379" ht="13.5" customHeight="1">
      <c r="A379" s="94" t="n"/>
      <c r="B379" s="94" t="n"/>
      <c r="C379" s="94" t="n"/>
      <c r="D379" s="94" t="n"/>
      <c r="E379" s="282" t="n"/>
      <c r="F379" s="282" t="n"/>
      <c r="G379" s="94" t="n"/>
      <c r="H379" s="94" t="n"/>
      <c r="I379" s="94" t="n"/>
      <c r="J379" s="94" t="n"/>
      <c r="K379" s="94" t="n"/>
      <c r="L379" s="94" t="n"/>
    </row>
    <row r="380" ht="13.5" customHeight="1">
      <c r="A380" s="94" t="n"/>
      <c r="B380" s="94" t="n"/>
      <c r="C380" s="94" t="n"/>
      <c r="D380" s="94" t="n"/>
      <c r="E380" s="282" t="n"/>
      <c r="F380" s="282" t="n"/>
      <c r="G380" s="94" t="n"/>
      <c r="H380" s="94" t="n"/>
      <c r="I380" s="94" t="n"/>
      <c r="J380" s="94" t="n"/>
      <c r="K380" s="94" t="n"/>
      <c r="L380" s="94" t="n"/>
    </row>
    <row r="381" ht="13.5" customHeight="1">
      <c r="A381" s="94" t="n"/>
      <c r="B381" s="94" t="n"/>
      <c r="C381" s="94" t="n"/>
      <c r="D381" s="94" t="n"/>
      <c r="E381" s="282" t="n"/>
      <c r="F381" s="282" t="n"/>
      <c r="G381" s="94" t="n"/>
      <c r="H381" s="94" t="n"/>
      <c r="I381" s="94" t="n"/>
      <c r="J381" s="94" t="n"/>
      <c r="K381" s="94" t="n"/>
      <c r="L381" s="94" t="n"/>
    </row>
    <row r="382" ht="13.5" customHeight="1">
      <c r="A382" s="94" t="n"/>
      <c r="B382" s="94" t="n"/>
      <c r="C382" s="94" t="n"/>
      <c r="D382" s="94" t="n"/>
      <c r="E382" s="282" t="n"/>
      <c r="F382" s="282" t="n"/>
      <c r="G382" s="94" t="n"/>
      <c r="H382" s="94" t="n"/>
      <c r="I382" s="94" t="n"/>
      <c r="J382" s="94" t="n"/>
      <c r="K382" s="94" t="n"/>
      <c r="L382" s="94" t="n"/>
    </row>
    <row r="383" ht="13.5" customHeight="1">
      <c r="A383" s="94" t="n"/>
      <c r="B383" s="94" t="n"/>
      <c r="C383" s="94" t="n"/>
      <c r="D383" s="94" t="n"/>
      <c r="E383" s="282" t="n"/>
      <c r="F383" s="282" t="n"/>
      <c r="G383" s="94" t="n"/>
      <c r="H383" s="94" t="n"/>
      <c r="I383" s="94" t="n"/>
      <c r="J383" s="94" t="n"/>
      <c r="K383" s="94" t="n"/>
      <c r="L383" s="94" t="n"/>
    </row>
    <row r="384" ht="13.5" customHeight="1">
      <c r="A384" s="94" t="n"/>
      <c r="B384" s="94" t="n"/>
      <c r="C384" s="94" t="n"/>
      <c r="D384" s="94" t="n"/>
      <c r="E384" s="282" t="n"/>
      <c r="F384" s="282" t="n"/>
      <c r="G384" s="94" t="n"/>
      <c r="H384" s="94" t="n"/>
      <c r="I384" s="94" t="n"/>
      <c r="J384" s="94" t="n"/>
      <c r="K384" s="94" t="n"/>
      <c r="L384" s="94" t="n"/>
    </row>
    <row r="385" ht="13.5" customHeight="1">
      <c r="A385" s="94" t="n"/>
      <c r="B385" s="94" t="n"/>
      <c r="C385" s="94" t="n"/>
      <c r="D385" s="94" t="n"/>
      <c r="E385" s="282" t="n"/>
      <c r="F385" s="282" t="n"/>
      <c r="G385" s="94" t="n"/>
      <c r="H385" s="94" t="n"/>
      <c r="I385" s="94" t="n"/>
      <c r="J385" s="94" t="n"/>
      <c r="K385" s="94" t="n"/>
      <c r="L385" s="94" t="n"/>
    </row>
    <row r="386" ht="13.5" customHeight="1">
      <c r="A386" s="94" t="n"/>
      <c r="B386" s="94" t="n"/>
      <c r="C386" s="94" t="n"/>
      <c r="D386" s="94" t="n"/>
      <c r="E386" s="282" t="n"/>
      <c r="F386" s="282" t="n"/>
      <c r="G386" s="94" t="n"/>
      <c r="H386" s="94" t="n"/>
      <c r="I386" s="94" t="n"/>
      <c r="J386" s="94" t="n"/>
      <c r="K386" s="94" t="n"/>
      <c r="L386" s="94" t="n"/>
    </row>
    <row r="387" ht="13.5" customHeight="1">
      <c r="A387" s="94" t="n"/>
      <c r="B387" s="94" t="n"/>
      <c r="C387" s="94" t="n"/>
      <c r="D387" s="94" t="n"/>
      <c r="E387" s="282" t="n"/>
      <c r="F387" s="282" t="n"/>
      <c r="G387" s="94" t="n"/>
      <c r="H387" s="94" t="n"/>
      <c r="I387" s="94" t="n"/>
      <c r="J387" s="94" t="n"/>
      <c r="K387" s="94" t="n"/>
      <c r="L387" s="94" t="n"/>
    </row>
    <row r="388" ht="13.5" customHeight="1">
      <c r="A388" s="94" t="n"/>
      <c r="B388" s="94" t="n"/>
      <c r="C388" s="94" t="n"/>
      <c r="D388" s="94" t="n"/>
      <c r="E388" s="282" t="n"/>
      <c r="F388" s="282" t="n"/>
      <c r="G388" s="94" t="n"/>
      <c r="H388" s="94" t="n"/>
      <c r="I388" s="94" t="n"/>
      <c r="J388" s="94" t="n"/>
      <c r="K388" s="94" t="n"/>
      <c r="L388" s="94" t="n"/>
    </row>
    <row r="389" ht="13.5" customHeight="1">
      <c r="A389" s="94" t="n"/>
      <c r="B389" s="94" t="n"/>
      <c r="C389" s="94" t="n"/>
      <c r="D389" s="94" t="n"/>
      <c r="E389" s="282" t="n"/>
      <c r="F389" s="282" t="n"/>
      <c r="G389" s="94" t="n"/>
      <c r="H389" s="94" t="n"/>
      <c r="I389" s="94" t="n"/>
      <c r="J389" s="94" t="n"/>
      <c r="K389" s="94" t="n"/>
      <c r="L389" s="94" t="n"/>
    </row>
    <row r="390" ht="13.5" customHeight="1">
      <c r="A390" s="94" t="n"/>
      <c r="B390" s="94" t="n"/>
      <c r="C390" s="94" t="n"/>
      <c r="D390" s="94" t="n"/>
      <c r="E390" s="282" t="n"/>
      <c r="F390" s="282" t="n"/>
      <c r="G390" s="94" t="n"/>
      <c r="H390" s="94" t="n"/>
      <c r="I390" s="94" t="n"/>
      <c r="J390" s="94" t="n"/>
      <c r="K390" s="94" t="n"/>
      <c r="L390" s="94" t="n"/>
    </row>
    <row r="391" ht="13.5" customHeight="1">
      <c r="A391" s="94" t="n"/>
      <c r="B391" s="94" t="n"/>
      <c r="C391" s="94" t="n"/>
      <c r="D391" s="94" t="n"/>
      <c r="E391" s="282" t="n"/>
      <c r="F391" s="282" t="n"/>
      <c r="G391" s="94" t="n"/>
      <c r="H391" s="94" t="n"/>
      <c r="I391" s="94" t="n"/>
      <c r="J391" s="94" t="n"/>
      <c r="K391" s="94" t="n"/>
      <c r="L391" s="94" t="n"/>
    </row>
    <row r="392" ht="13.5" customHeight="1">
      <c r="A392" s="94" t="n"/>
      <c r="B392" s="94" t="n"/>
      <c r="C392" s="94" t="n"/>
      <c r="D392" s="94" t="n"/>
      <c r="E392" s="282" t="n"/>
      <c r="F392" s="282" t="n"/>
      <c r="G392" s="94" t="n"/>
      <c r="H392" s="94" t="n"/>
      <c r="I392" s="94" t="n"/>
      <c r="J392" s="94" t="n"/>
      <c r="K392" s="94" t="n"/>
      <c r="L392" s="94" t="n"/>
    </row>
    <row r="393" ht="13.5" customHeight="1">
      <c r="A393" s="94" t="n"/>
      <c r="B393" s="94" t="n"/>
      <c r="C393" s="94" t="n"/>
      <c r="D393" s="94" t="n"/>
      <c r="E393" s="282" t="n"/>
      <c r="F393" s="282" t="n"/>
      <c r="G393" s="94" t="n"/>
      <c r="H393" s="94" t="n"/>
      <c r="I393" s="94" t="n"/>
      <c r="J393" s="94" t="n"/>
      <c r="K393" s="94" t="n"/>
      <c r="L393" s="94" t="n"/>
    </row>
    <row r="394" ht="13.5" customHeight="1">
      <c r="A394" s="94" t="n"/>
      <c r="B394" s="94" t="n"/>
      <c r="C394" s="94" t="n"/>
      <c r="D394" s="94" t="n"/>
      <c r="E394" s="282" t="n"/>
      <c r="F394" s="282" t="n"/>
      <c r="G394" s="94" t="n"/>
      <c r="H394" s="94" t="n"/>
      <c r="I394" s="94" t="n"/>
      <c r="J394" s="94" t="n"/>
      <c r="K394" s="94" t="n"/>
      <c r="L394" s="94" t="n"/>
    </row>
    <row r="395" ht="13.5" customHeight="1">
      <c r="A395" s="94" t="n"/>
      <c r="B395" s="94" t="n"/>
      <c r="C395" s="94" t="n"/>
      <c r="D395" s="94" t="n"/>
      <c r="E395" s="282" t="n"/>
      <c r="F395" s="282" t="n"/>
      <c r="G395" s="94" t="n"/>
      <c r="H395" s="94" t="n"/>
      <c r="I395" s="94" t="n"/>
      <c r="J395" s="94" t="n"/>
      <c r="K395" s="94" t="n"/>
      <c r="L395" s="94" t="n"/>
    </row>
    <row r="396" ht="13.5" customHeight="1">
      <c r="A396" s="94" t="n"/>
      <c r="B396" s="94" t="n"/>
      <c r="C396" s="94" t="n"/>
      <c r="D396" s="94" t="n"/>
      <c r="E396" s="282" t="n"/>
      <c r="F396" s="282" t="n"/>
      <c r="G396" s="94" t="n"/>
      <c r="H396" s="94" t="n"/>
      <c r="I396" s="94" t="n"/>
      <c r="J396" s="94" t="n"/>
      <c r="K396" s="94" t="n"/>
      <c r="L396" s="94" t="n"/>
    </row>
    <row r="397" ht="13.5" customHeight="1">
      <c r="A397" s="94" t="n"/>
      <c r="B397" s="94" t="n"/>
      <c r="C397" s="94" t="n"/>
      <c r="D397" s="94" t="n"/>
      <c r="E397" s="282" t="n"/>
      <c r="F397" s="282" t="n"/>
      <c r="G397" s="94" t="n"/>
      <c r="H397" s="94" t="n"/>
      <c r="I397" s="94" t="n"/>
      <c r="J397" s="94" t="n"/>
      <c r="K397" s="94" t="n"/>
      <c r="L397" s="94" t="n"/>
    </row>
    <row r="398" ht="13.5" customHeight="1">
      <c r="A398" s="94" t="n"/>
      <c r="B398" s="94" t="n"/>
      <c r="C398" s="94" t="n"/>
      <c r="D398" s="94" t="n"/>
      <c r="E398" s="282" t="n"/>
      <c r="F398" s="282" t="n"/>
      <c r="G398" s="94" t="n"/>
      <c r="H398" s="94" t="n"/>
      <c r="I398" s="94" t="n"/>
      <c r="J398" s="94" t="n"/>
      <c r="K398" s="94" t="n"/>
      <c r="L398" s="94" t="n"/>
    </row>
    <row r="399" ht="13.5" customHeight="1">
      <c r="A399" s="94" t="n"/>
      <c r="B399" s="94" t="n"/>
      <c r="C399" s="94" t="n"/>
      <c r="D399" s="94" t="n"/>
      <c r="E399" s="282" t="n"/>
      <c r="F399" s="282" t="n"/>
      <c r="G399" s="94" t="n"/>
      <c r="H399" s="94" t="n"/>
      <c r="I399" s="94" t="n"/>
      <c r="J399" s="94" t="n"/>
      <c r="K399" s="94" t="n"/>
      <c r="L399" s="94" t="n"/>
    </row>
    <row r="400" ht="13.5" customHeight="1">
      <c r="A400" s="94" t="n"/>
      <c r="B400" s="94" t="n"/>
      <c r="C400" s="94" t="n"/>
      <c r="D400" s="94" t="n"/>
      <c r="E400" s="282" t="n"/>
      <c r="F400" s="282" t="n"/>
      <c r="G400" s="94" t="n"/>
      <c r="H400" s="94" t="n"/>
      <c r="I400" s="94" t="n"/>
      <c r="J400" s="94" t="n"/>
      <c r="K400" s="94" t="n"/>
      <c r="L400" s="94" t="n"/>
    </row>
    <row r="401" ht="13.5" customHeight="1">
      <c r="A401" s="94" t="n"/>
      <c r="B401" s="94" t="n"/>
      <c r="C401" s="94" t="n"/>
      <c r="D401" s="94" t="n"/>
      <c r="E401" s="282" t="n"/>
      <c r="F401" s="282" t="n"/>
      <c r="G401" s="94" t="n"/>
      <c r="H401" s="94" t="n"/>
      <c r="I401" s="94" t="n"/>
      <c r="J401" s="94" t="n"/>
      <c r="K401" s="94" t="n"/>
      <c r="L401" s="94" t="n"/>
    </row>
    <row r="402" ht="13.5" customHeight="1">
      <c r="A402" s="94" t="n"/>
      <c r="B402" s="94" t="n"/>
      <c r="C402" s="94" t="n"/>
      <c r="D402" s="94" t="n"/>
      <c r="E402" s="282" t="n"/>
      <c r="F402" s="282" t="n"/>
      <c r="G402" s="94" t="n"/>
      <c r="H402" s="94" t="n"/>
      <c r="I402" s="94" t="n"/>
      <c r="J402" s="94" t="n"/>
      <c r="K402" s="94" t="n"/>
      <c r="L402" s="94" t="n"/>
    </row>
    <row r="403" ht="13.5" customHeight="1">
      <c r="A403" s="94" t="n"/>
      <c r="B403" s="94" t="n"/>
      <c r="C403" s="94" t="n"/>
      <c r="D403" s="94" t="n"/>
      <c r="E403" s="282" t="n"/>
      <c r="F403" s="282" t="n"/>
      <c r="G403" s="94" t="n"/>
      <c r="H403" s="94" t="n"/>
      <c r="I403" s="94" t="n"/>
      <c r="J403" s="94" t="n"/>
      <c r="K403" s="94" t="n"/>
      <c r="L403" s="94" t="n"/>
    </row>
    <row r="404" ht="13.5" customHeight="1">
      <c r="A404" s="94" t="n"/>
      <c r="B404" s="94" t="n"/>
      <c r="C404" s="94" t="n"/>
      <c r="D404" s="94" t="n"/>
      <c r="E404" s="282" t="n"/>
      <c r="F404" s="282" t="n"/>
      <c r="G404" s="94" t="n"/>
      <c r="H404" s="94" t="n"/>
      <c r="I404" s="94" t="n"/>
      <c r="J404" s="94" t="n"/>
      <c r="K404" s="94" t="n"/>
      <c r="L404" s="94" t="n"/>
    </row>
    <row r="405" ht="13.5" customHeight="1">
      <c r="A405" s="94" t="n"/>
      <c r="B405" s="94" t="n"/>
      <c r="C405" s="94" t="n"/>
      <c r="D405" s="94" t="n"/>
      <c r="E405" s="282" t="n"/>
      <c r="F405" s="282" t="n"/>
      <c r="G405" s="94" t="n"/>
      <c r="H405" s="94" t="n"/>
      <c r="I405" s="94" t="n"/>
      <c r="J405" s="94" t="n"/>
      <c r="K405" s="94" t="n"/>
      <c r="L405" s="94" t="n"/>
    </row>
    <row r="406" ht="13.5" customHeight="1">
      <c r="A406" s="94" t="n"/>
      <c r="B406" s="94" t="n"/>
      <c r="C406" s="94" t="n"/>
      <c r="D406" s="94" t="n"/>
      <c r="E406" s="282" t="n"/>
      <c r="F406" s="282" t="n"/>
      <c r="G406" s="94" t="n"/>
      <c r="H406" s="94" t="n"/>
      <c r="I406" s="94" t="n"/>
      <c r="J406" s="94" t="n"/>
      <c r="K406" s="94" t="n"/>
      <c r="L406" s="94" t="n"/>
    </row>
    <row r="407" ht="13.5" customHeight="1">
      <c r="A407" s="94" t="n"/>
      <c r="B407" s="94" t="n"/>
      <c r="C407" s="94" t="n"/>
      <c r="D407" s="94" t="n"/>
      <c r="E407" s="282" t="n"/>
      <c r="F407" s="282" t="n"/>
      <c r="G407" s="94" t="n"/>
      <c r="H407" s="94" t="n"/>
      <c r="I407" s="94" t="n"/>
      <c r="J407" s="94" t="n"/>
      <c r="K407" s="94" t="n"/>
      <c r="L407" s="94" t="n"/>
    </row>
    <row r="408" ht="13.5" customHeight="1">
      <c r="A408" s="94" t="n"/>
      <c r="B408" s="94" t="n"/>
      <c r="C408" s="94" t="n"/>
      <c r="D408" s="94" t="n"/>
      <c r="E408" s="282" t="n"/>
      <c r="F408" s="282" t="n"/>
      <c r="G408" s="94" t="n"/>
      <c r="H408" s="94" t="n"/>
      <c r="I408" s="94" t="n"/>
      <c r="J408" s="94" t="n"/>
      <c r="K408" s="94" t="n"/>
      <c r="L408" s="94" t="n"/>
    </row>
    <row r="409" ht="13.5" customHeight="1">
      <c r="A409" s="94" t="n"/>
      <c r="B409" s="94" t="n"/>
      <c r="C409" s="94" t="n"/>
      <c r="D409" s="94" t="n"/>
      <c r="E409" s="282" t="n"/>
      <c r="F409" s="282" t="n"/>
      <c r="G409" s="94" t="n"/>
      <c r="H409" s="94" t="n"/>
      <c r="I409" s="94" t="n"/>
      <c r="J409" s="94" t="n"/>
      <c r="K409" s="94" t="n"/>
      <c r="L409" s="94" t="n"/>
    </row>
    <row r="410" ht="13.5" customHeight="1">
      <c r="A410" s="94" t="n"/>
      <c r="B410" s="94" t="n"/>
      <c r="C410" s="94" t="n"/>
      <c r="D410" s="94" t="n"/>
      <c r="E410" s="282" t="n"/>
      <c r="F410" s="282" t="n"/>
      <c r="G410" s="94" t="n"/>
      <c r="H410" s="94" t="n"/>
      <c r="I410" s="94" t="n"/>
      <c r="J410" s="94" t="n"/>
      <c r="K410" s="94" t="n"/>
      <c r="L410" s="94" t="n"/>
    </row>
    <row r="411" ht="13.5" customHeight="1">
      <c r="A411" s="94" t="n"/>
      <c r="B411" s="94" t="n"/>
      <c r="C411" s="94" t="n"/>
      <c r="D411" s="94" t="n"/>
      <c r="E411" s="282" t="n"/>
      <c r="F411" s="282" t="n"/>
      <c r="G411" s="94" t="n"/>
      <c r="H411" s="94" t="n"/>
      <c r="I411" s="94" t="n"/>
      <c r="J411" s="94" t="n"/>
      <c r="K411" s="94" t="n"/>
      <c r="L411" s="94" t="n"/>
    </row>
    <row r="412" ht="13.5" customHeight="1">
      <c r="A412" s="94" t="n"/>
      <c r="B412" s="94" t="n"/>
      <c r="C412" s="94" t="n"/>
      <c r="D412" s="94" t="n"/>
      <c r="E412" s="282" t="n"/>
      <c r="F412" s="282" t="n"/>
      <c r="G412" s="94" t="n"/>
      <c r="H412" s="94" t="n"/>
      <c r="I412" s="94" t="n"/>
      <c r="J412" s="94" t="n"/>
      <c r="K412" s="94" t="n"/>
      <c r="L412" s="94" t="n"/>
    </row>
    <row r="413" ht="13.5" customHeight="1">
      <c r="A413" s="94" t="n"/>
      <c r="B413" s="94" t="n"/>
      <c r="C413" s="94" t="n"/>
      <c r="D413" s="94" t="n"/>
      <c r="E413" s="282" t="n"/>
      <c r="F413" s="282" t="n"/>
      <c r="G413" s="94" t="n"/>
      <c r="H413" s="94" t="n"/>
      <c r="I413" s="94" t="n"/>
      <c r="J413" s="94" t="n"/>
      <c r="K413" s="94" t="n"/>
      <c r="L413" s="94" t="n"/>
    </row>
    <row r="414" ht="13.5" customHeight="1">
      <c r="A414" s="94" t="n"/>
      <c r="B414" s="94" t="n"/>
      <c r="C414" s="94" t="n"/>
      <c r="D414" s="94" t="n"/>
      <c r="E414" s="282" t="n"/>
      <c r="F414" s="282" t="n"/>
      <c r="G414" s="94" t="n"/>
      <c r="H414" s="94" t="n"/>
      <c r="I414" s="94" t="n"/>
      <c r="J414" s="94" t="n"/>
      <c r="K414" s="94" t="n"/>
      <c r="L414" s="94" t="n"/>
    </row>
    <row r="415" ht="13.5" customHeight="1">
      <c r="A415" s="94" t="n"/>
      <c r="B415" s="94" t="n"/>
      <c r="C415" s="94" t="n"/>
      <c r="D415" s="94" t="n"/>
      <c r="E415" s="282" t="n"/>
      <c r="F415" s="282" t="n"/>
      <c r="G415" s="94" t="n"/>
      <c r="H415" s="94" t="n"/>
      <c r="I415" s="94" t="n"/>
      <c r="J415" s="94" t="n"/>
      <c r="K415" s="94" t="n"/>
      <c r="L415" s="94" t="n"/>
    </row>
    <row r="416" ht="13.5" customHeight="1">
      <c r="A416" s="94" t="n"/>
      <c r="B416" s="94" t="n"/>
      <c r="C416" s="94" t="n"/>
      <c r="D416" s="94" t="n"/>
      <c r="E416" s="282" t="n"/>
      <c r="F416" s="282" t="n"/>
      <c r="G416" s="94" t="n"/>
      <c r="H416" s="94" t="n"/>
      <c r="I416" s="94" t="n"/>
      <c r="J416" s="94" t="n"/>
      <c r="K416" s="94" t="n"/>
      <c r="L416" s="94" t="n"/>
    </row>
    <row r="417" ht="13.5" customHeight="1">
      <c r="A417" s="94" t="n"/>
      <c r="B417" s="94" t="n"/>
      <c r="C417" s="94" t="n"/>
      <c r="D417" s="94" t="n"/>
      <c r="E417" s="282" t="n"/>
      <c r="F417" s="282" t="n"/>
      <c r="G417" s="94" t="n"/>
      <c r="H417" s="94" t="n"/>
      <c r="I417" s="94" t="n"/>
      <c r="J417" s="94" t="n"/>
      <c r="K417" s="94" t="n"/>
      <c r="L417" s="94" t="n"/>
    </row>
    <row r="418" ht="13.5" customHeight="1">
      <c r="A418" s="94" t="n"/>
      <c r="B418" s="94" t="n"/>
      <c r="C418" s="94" t="n"/>
      <c r="D418" s="94" t="n"/>
      <c r="E418" s="282" t="n"/>
      <c r="F418" s="282" t="n"/>
      <c r="G418" s="94" t="n"/>
      <c r="H418" s="94" t="n"/>
      <c r="I418" s="94" t="n"/>
      <c r="J418" s="94" t="n"/>
      <c r="K418" s="94" t="n"/>
      <c r="L418" s="94" t="n"/>
    </row>
    <row r="419" ht="13.5" customHeight="1">
      <c r="A419" s="94" t="n"/>
      <c r="B419" s="94" t="n"/>
      <c r="C419" s="94" t="n"/>
      <c r="D419" s="94" t="n"/>
      <c r="E419" s="282" t="n"/>
      <c r="F419" s="282" t="n"/>
      <c r="G419" s="94" t="n"/>
      <c r="H419" s="94" t="n"/>
      <c r="I419" s="94" t="n"/>
      <c r="J419" s="94" t="n"/>
      <c r="K419" s="94" t="n"/>
      <c r="L419" s="94" t="n"/>
    </row>
    <row r="420" ht="13.5" customHeight="1">
      <c r="A420" s="94" t="n"/>
      <c r="B420" s="94" t="n"/>
      <c r="C420" s="94" t="n"/>
      <c r="D420" s="94" t="n"/>
      <c r="E420" s="282" t="n"/>
      <c r="F420" s="282" t="n"/>
      <c r="G420" s="94" t="n"/>
      <c r="H420" s="94" t="n"/>
      <c r="I420" s="94" t="n"/>
      <c r="J420" s="94" t="n"/>
      <c r="K420" s="94" t="n"/>
      <c r="L420" s="94" t="n"/>
    </row>
    <row r="421" ht="13.5" customHeight="1">
      <c r="A421" s="94" t="n"/>
      <c r="B421" s="94" t="n"/>
      <c r="C421" s="94" t="n"/>
      <c r="D421" s="94" t="n"/>
      <c r="E421" s="282" t="n"/>
      <c r="F421" s="282" t="n"/>
      <c r="G421" s="94" t="n"/>
      <c r="H421" s="94" t="n"/>
      <c r="I421" s="94" t="n"/>
      <c r="J421" s="94" t="n"/>
      <c r="K421" s="94" t="n"/>
      <c r="L421" s="94" t="n"/>
    </row>
    <row r="422" ht="13.5" customHeight="1">
      <c r="A422" s="94" t="n"/>
      <c r="B422" s="94" t="n"/>
      <c r="C422" s="94" t="n"/>
      <c r="D422" s="94" t="n"/>
      <c r="E422" s="282" t="n"/>
      <c r="F422" s="282" t="n"/>
      <c r="G422" s="94" t="n"/>
      <c r="H422" s="94" t="n"/>
      <c r="I422" s="94" t="n"/>
      <c r="J422" s="94" t="n"/>
      <c r="K422" s="94" t="n"/>
      <c r="L422" s="94" t="n"/>
    </row>
    <row r="423" ht="13.5" customHeight="1">
      <c r="A423" s="94" t="n"/>
      <c r="B423" s="94" t="n"/>
      <c r="C423" s="94" t="n"/>
      <c r="D423" s="94" t="n"/>
      <c r="E423" s="282" t="n"/>
      <c r="F423" s="282" t="n"/>
      <c r="G423" s="94" t="n"/>
      <c r="H423" s="94" t="n"/>
      <c r="I423" s="94" t="n"/>
      <c r="J423" s="94" t="n"/>
      <c r="K423" s="94" t="n"/>
      <c r="L423" s="94" t="n"/>
    </row>
    <row r="424" ht="13.5" customHeight="1">
      <c r="A424" s="94" t="n"/>
      <c r="B424" s="94" t="n"/>
      <c r="C424" s="94" t="n"/>
      <c r="D424" s="94" t="n"/>
      <c r="E424" s="282" t="n"/>
      <c r="F424" s="282" t="n"/>
      <c r="G424" s="94" t="n"/>
      <c r="H424" s="94" t="n"/>
      <c r="I424" s="94" t="n"/>
      <c r="J424" s="94" t="n"/>
      <c r="K424" s="94" t="n"/>
      <c r="L424" s="94" t="n"/>
    </row>
    <row r="425" ht="13.5" customHeight="1">
      <c r="A425" s="94" t="n"/>
      <c r="B425" s="94" t="n"/>
      <c r="C425" s="94" t="n"/>
      <c r="D425" s="94" t="n"/>
      <c r="E425" s="282" t="n"/>
      <c r="F425" s="282" t="n"/>
      <c r="G425" s="94" t="n"/>
      <c r="H425" s="94" t="n"/>
      <c r="I425" s="94" t="n"/>
      <c r="J425" s="94" t="n"/>
      <c r="K425" s="94" t="n"/>
      <c r="L425" s="94" t="n"/>
    </row>
    <row r="426" ht="13.5" customHeight="1">
      <c r="A426" s="94" t="n"/>
      <c r="B426" s="94" t="n"/>
      <c r="C426" s="94" t="n"/>
      <c r="D426" s="94" t="n"/>
      <c r="E426" s="282" t="n"/>
      <c r="F426" s="282" t="n"/>
      <c r="G426" s="94" t="n"/>
      <c r="H426" s="94" t="n"/>
      <c r="I426" s="94" t="n"/>
      <c r="J426" s="94" t="n"/>
      <c r="K426" s="94" t="n"/>
      <c r="L426" s="94" t="n"/>
    </row>
    <row r="427" ht="13.5" customHeight="1">
      <c r="A427" s="94" t="n"/>
      <c r="B427" s="94" t="n"/>
      <c r="C427" s="94" t="n"/>
      <c r="D427" s="94" t="n"/>
      <c r="E427" s="282" t="n"/>
      <c r="F427" s="282" t="n"/>
      <c r="G427" s="94" t="n"/>
      <c r="H427" s="94" t="n"/>
      <c r="I427" s="94" t="n"/>
      <c r="J427" s="94" t="n"/>
      <c r="K427" s="94" t="n"/>
      <c r="L427" s="94" t="n"/>
    </row>
    <row r="428" ht="13.5" customHeight="1">
      <c r="A428" s="94" t="n"/>
      <c r="B428" s="94" t="n"/>
      <c r="C428" s="94" t="n"/>
      <c r="D428" s="94" t="n"/>
      <c r="E428" s="282" t="n"/>
      <c r="F428" s="282" t="n"/>
      <c r="G428" s="94" t="n"/>
      <c r="H428" s="94" t="n"/>
      <c r="I428" s="94" t="n"/>
      <c r="J428" s="94" t="n"/>
      <c r="K428" s="94" t="n"/>
      <c r="L428" s="94" t="n"/>
    </row>
    <row r="429" ht="13.5" customHeight="1">
      <c r="A429" s="94" t="n"/>
      <c r="B429" s="94" t="n"/>
      <c r="C429" s="94" t="n"/>
      <c r="D429" s="94" t="n"/>
      <c r="E429" s="282" t="n"/>
      <c r="F429" s="282" t="n"/>
      <c r="G429" s="94" t="n"/>
      <c r="H429" s="94" t="n"/>
      <c r="I429" s="94" t="n"/>
      <c r="J429" s="94" t="n"/>
      <c r="K429" s="94" t="n"/>
      <c r="L429" s="94" t="n"/>
    </row>
    <row r="430" ht="13.5" customHeight="1">
      <c r="A430" s="94" t="n"/>
      <c r="B430" s="94" t="n"/>
      <c r="C430" s="94" t="n"/>
      <c r="D430" s="94" t="n"/>
      <c r="E430" s="282" t="n"/>
      <c r="F430" s="282" t="n"/>
      <c r="G430" s="94" t="n"/>
      <c r="H430" s="94" t="n"/>
      <c r="I430" s="94" t="n"/>
      <c r="J430" s="94" t="n"/>
      <c r="K430" s="94" t="n"/>
      <c r="L430" s="94" t="n"/>
    </row>
    <row r="431" ht="13.5" customHeight="1">
      <c r="A431" s="94" t="n"/>
      <c r="B431" s="94" t="n"/>
      <c r="C431" s="94" t="n"/>
      <c r="D431" s="94" t="n"/>
      <c r="E431" s="282" t="n"/>
      <c r="F431" s="282" t="n"/>
      <c r="G431" s="94" t="n"/>
      <c r="H431" s="94" t="n"/>
      <c r="I431" s="94" t="n"/>
      <c r="J431" s="94" t="n"/>
      <c r="K431" s="94" t="n"/>
      <c r="L431" s="94" t="n"/>
    </row>
    <row r="432" ht="13.5" customHeight="1">
      <c r="A432" s="94" t="n"/>
      <c r="B432" s="94" t="n"/>
      <c r="C432" s="94" t="n"/>
      <c r="D432" s="94" t="n"/>
      <c r="E432" s="282" t="n"/>
      <c r="F432" s="282" t="n"/>
      <c r="G432" s="94" t="n"/>
      <c r="H432" s="94" t="n"/>
      <c r="I432" s="94" t="n"/>
      <c r="J432" s="94" t="n"/>
      <c r="K432" s="94" t="n"/>
      <c r="L432" s="94" t="n"/>
    </row>
    <row r="433" ht="13.5" customHeight="1">
      <c r="A433" s="94" t="n"/>
      <c r="B433" s="94" t="n"/>
      <c r="C433" s="94" t="n"/>
      <c r="D433" s="94" t="n"/>
      <c r="E433" s="282" t="n"/>
      <c r="F433" s="282" t="n"/>
      <c r="G433" s="94" t="n"/>
      <c r="H433" s="94" t="n"/>
      <c r="I433" s="94" t="n"/>
      <c r="J433" s="94" t="n"/>
      <c r="K433" s="94" t="n"/>
      <c r="L433" s="94" t="n"/>
    </row>
    <row r="434" ht="13.5" customHeight="1">
      <c r="A434" s="94" t="n"/>
      <c r="B434" s="94" t="n"/>
      <c r="C434" s="94" t="n"/>
      <c r="D434" s="94" t="n"/>
      <c r="E434" s="282" t="n"/>
      <c r="F434" s="282" t="n"/>
      <c r="G434" s="94" t="n"/>
      <c r="H434" s="94" t="n"/>
      <c r="I434" s="94" t="n"/>
      <c r="J434" s="94" t="n"/>
      <c r="K434" s="94" t="n"/>
      <c r="L434" s="94" t="n"/>
    </row>
    <row r="435" ht="13.5" customHeight="1">
      <c r="A435" s="94" t="n"/>
      <c r="B435" s="94" t="n"/>
      <c r="C435" s="94" t="n"/>
      <c r="D435" s="94" t="n"/>
      <c r="E435" s="282" t="n"/>
      <c r="F435" s="282" t="n"/>
      <c r="G435" s="94" t="n"/>
      <c r="H435" s="94" t="n"/>
      <c r="I435" s="94" t="n"/>
      <c r="J435" s="94" t="n"/>
      <c r="K435" s="94" t="n"/>
      <c r="L435" s="94" t="n"/>
    </row>
    <row r="436" ht="13.5" customHeight="1">
      <c r="A436" s="94" t="n"/>
      <c r="B436" s="94" t="n"/>
      <c r="C436" s="94" t="n"/>
      <c r="D436" s="94" t="n"/>
      <c r="E436" s="282" t="n"/>
      <c r="F436" s="282" t="n"/>
      <c r="G436" s="94" t="n"/>
      <c r="H436" s="94" t="n"/>
      <c r="I436" s="94" t="n"/>
      <c r="J436" s="94" t="n"/>
      <c r="K436" s="94" t="n"/>
      <c r="L436" s="94" t="n"/>
    </row>
    <row r="437" ht="13.5" customHeight="1">
      <c r="A437" s="94" t="n"/>
      <c r="B437" s="94" t="n"/>
      <c r="C437" s="94" t="n"/>
      <c r="D437" s="94" t="n"/>
      <c r="E437" s="282" t="n"/>
      <c r="F437" s="282" t="n"/>
      <c r="G437" s="94" t="n"/>
      <c r="H437" s="94" t="n"/>
      <c r="I437" s="94" t="n"/>
      <c r="J437" s="94" t="n"/>
      <c r="K437" s="94" t="n"/>
      <c r="L437" s="94" t="n"/>
    </row>
    <row r="438" ht="13.5" customHeight="1">
      <c r="A438" s="94" t="n"/>
      <c r="B438" s="94" t="n"/>
      <c r="C438" s="94" t="n"/>
      <c r="D438" s="94" t="n"/>
      <c r="E438" s="282" t="n"/>
      <c r="F438" s="282" t="n"/>
      <c r="G438" s="94" t="n"/>
      <c r="H438" s="94" t="n"/>
      <c r="I438" s="94" t="n"/>
      <c r="J438" s="94" t="n"/>
      <c r="K438" s="94" t="n"/>
      <c r="L438" s="94" t="n"/>
    </row>
    <row r="439" ht="13.5" customHeight="1">
      <c r="A439" s="94" t="n"/>
      <c r="B439" s="94" t="n"/>
      <c r="C439" s="94" t="n"/>
      <c r="D439" s="94" t="n"/>
      <c r="E439" s="282" t="n"/>
      <c r="F439" s="282" t="n"/>
      <c r="G439" s="94" t="n"/>
      <c r="H439" s="94" t="n"/>
      <c r="I439" s="94" t="n"/>
      <c r="J439" s="94" t="n"/>
      <c r="K439" s="94" t="n"/>
      <c r="L439" s="94" t="n"/>
    </row>
    <row r="440" ht="13.5" customHeight="1">
      <c r="A440" s="94" t="n"/>
      <c r="B440" s="94" t="n"/>
      <c r="C440" s="94" t="n"/>
      <c r="D440" s="94" t="n"/>
      <c r="E440" s="282" t="n"/>
      <c r="F440" s="282" t="n"/>
      <c r="G440" s="94" t="n"/>
      <c r="H440" s="94" t="n"/>
      <c r="I440" s="94" t="n"/>
      <c r="J440" s="94" t="n"/>
      <c r="K440" s="94" t="n"/>
      <c r="L440" s="94" t="n"/>
    </row>
    <row r="441" ht="13.5" customHeight="1">
      <c r="A441" s="94" t="n"/>
      <c r="B441" s="94" t="n"/>
      <c r="C441" s="94" t="n"/>
      <c r="D441" s="94" t="n"/>
      <c r="E441" s="282" t="n"/>
      <c r="F441" s="282" t="n"/>
      <c r="G441" s="94" t="n"/>
      <c r="H441" s="94" t="n"/>
      <c r="I441" s="94" t="n"/>
      <c r="J441" s="94" t="n"/>
      <c r="K441" s="94" t="n"/>
      <c r="L441" s="94" t="n"/>
    </row>
    <row r="442" ht="13.5" customHeight="1">
      <c r="A442" s="94" t="n"/>
      <c r="B442" s="94" t="n"/>
      <c r="C442" s="94" t="n"/>
      <c r="D442" s="94" t="n"/>
      <c r="E442" s="282" t="n"/>
      <c r="F442" s="282" t="n"/>
      <c r="G442" s="94" t="n"/>
      <c r="H442" s="94" t="n"/>
      <c r="I442" s="94" t="n"/>
      <c r="J442" s="94" t="n"/>
      <c r="K442" s="94" t="n"/>
      <c r="L442" s="94" t="n"/>
    </row>
    <row r="443" ht="13.5" customHeight="1">
      <c r="A443" s="94" t="n"/>
      <c r="B443" s="94" t="n"/>
      <c r="C443" s="94" t="n"/>
      <c r="D443" s="94" t="n"/>
      <c r="E443" s="282" t="n"/>
      <c r="F443" s="282" t="n"/>
      <c r="G443" s="94" t="n"/>
      <c r="H443" s="94" t="n"/>
      <c r="I443" s="94" t="n"/>
      <c r="J443" s="94" t="n"/>
      <c r="K443" s="94" t="n"/>
      <c r="L443" s="94" t="n"/>
    </row>
    <row r="444" ht="13.5" customHeight="1">
      <c r="A444" s="94" t="n"/>
      <c r="B444" s="94" t="n"/>
      <c r="C444" s="94" t="n"/>
      <c r="D444" s="94" t="n"/>
      <c r="E444" s="282" t="n"/>
      <c r="F444" s="282" t="n"/>
      <c r="G444" s="94" t="n"/>
      <c r="H444" s="94" t="n"/>
      <c r="I444" s="94" t="n"/>
      <c r="J444" s="94" t="n"/>
      <c r="K444" s="94" t="n"/>
      <c r="L444" s="94" t="n"/>
    </row>
    <row r="445" ht="13.5" customHeight="1">
      <c r="A445" s="94" t="n"/>
      <c r="B445" s="94" t="n"/>
      <c r="C445" s="94" t="n"/>
      <c r="D445" s="94" t="n"/>
      <c r="E445" s="282" t="n"/>
      <c r="F445" s="282" t="n"/>
      <c r="G445" s="94" t="n"/>
      <c r="H445" s="94" t="n"/>
      <c r="I445" s="94" t="n"/>
      <c r="J445" s="94" t="n"/>
      <c r="K445" s="94" t="n"/>
      <c r="L445" s="94" t="n"/>
    </row>
    <row r="446" ht="13.5" customHeight="1">
      <c r="A446" s="94" t="n"/>
      <c r="B446" s="94" t="n"/>
      <c r="C446" s="94" t="n"/>
      <c r="D446" s="94" t="n"/>
      <c r="E446" s="282" t="n"/>
      <c r="F446" s="282" t="n"/>
      <c r="G446" s="94" t="n"/>
      <c r="H446" s="94" t="n"/>
      <c r="I446" s="94" t="n"/>
      <c r="J446" s="94" t="n"/>
      <c r="K446" s="94" t="n"/>
      <c r="L446" s="94" t="n"/>
    </row>
    <row r="447" ht="13.5" customHeight="1">
      <c r="A447" s="94" t="n"/>
      <c r="B447" s="94" t="n"/>
      <c r="C447" s="94" t="n"/>
      <c r="D447" s="94" t="n"/>
      <c r="E447" s="282" t="n"/>
      <c r="F447" s="282" t="n"/>
      <c r="G447" s="94" t="n"/>
      <c r="H447" s="94" t="n"/>
      <c r="I447" s="94" t="n"/>
      <c r="J447" s="94" t="n"/>
      <c r="K447" s="94" t="n"/>
      <c r="L447" s="94" t="n"/>
    </row>
    <row r="448" ht="13.5" customHeight="1">
      <c r="A448" s="94" t="n"/>
      <c r="B448" s="94" t="n"/>
      <c r="C448" s="94" t="n"/>
      <c r="D448" s="94" t="n"/>
      <c r="E448" s="282" t="n"/>
      <c r="F448" s="282" t="n"/>
      <c r="G448" s="94" t="n"/>
      <c r="H448" s="94" t="n"/>
      <c r="I448" s="94" t="n"/>
      <c r="J448" s="94" t="n"/>
      <c r="K448" s="94" t="n"/>
      <c r="L448" s="94" t="n"/>
    </row>
    <row r="449" ht="13.5" customHeight="1">
      <c r="A449" s="94" t="n"/>
      <c r="B449" s="94" t="n"/>
      <c r="C449" s="94" t="n"/>
      <c r="D449" s="94" t="n"/>
      <c r="E449" s="282" t="n"/>
      <c r="F449" s="282" t="n"/>
      <c r="G449" s="94" t="n"/>
      <c r="H449" s="94" t="n"/>
      <c r="I449" s="94" t="n"/>
      <c r="J449" s="94" t="n"/>
      <c r="K449" s="94" t="n"/>
      <c r="L449" s="94" t="n"/>
    </row>
    <row r="450" ht="13.5" customHeight="1">
      <c r="A450" s="94" t="n"/>
      <c r="B450" s="94" t="n"/>
      <c r="C450" s="94" t="n"/>
      <c r="D450" s="94" t="n"/>
      <c r="E450" s="282" t="n"/>
      <c r="F450" s="282" t="n"/>
      <c r="G450" s="94" t="n"/>
      <c r="H450" s="94" t="n"/>
      <c r="I450" s="94" t="n"/>
      <c r="J450" s="94" t="n"/>
      <c r="K450" s="94" t="n"/>
      <c r="L450" s="94" t="n"/>
    </row>
    <row r="451" ht="13.5" customHeight="1">
      <c r="A451" s="94" t="n"/>
      <c r="B451" s="94" t="n"/>
      <c r="C451" s="94" t="n"/>
      <c r="D451" s="94" t="n"/>
      <c r="E451" s="282" t="n"/>
      <c r="F451" s="282" t="n"/>
      <c r="G451" s="94" t="n"/>
      <c r="H451" s="94" t="n"/>
      <c r="I451" s="94" t="n"/>
      <c r="J451" s="94" t="n"/>
      <c r="K451" s="94" t="n"/>
      <c r="L451" s="94" t="n"/>
    </row>
    <row r="452" ht="13.5" customHeight="1">
      <c r="A452" s="94" t="n"/>
      <c r="B452" s="94" t="n"/>
      <c r="C452" s="94" t="n"/>
      <c r="D452" s="94" t="n"/>
      <c r="E452" s="282" t="n"/>
      <c r="F452" s="282" t="n"/>
      <c r="G452" s="94" t="n"/>
      <c r="H452" s="94" t="n"/>
      <c r="I452" s="94" t="n"/>
      <c r="J452" s="94" t="n"/>
      <c r="K452" s="94" t="n"/>
      <c r="L452" s="94" t="n"/>
    </row>
    <row r="453" ht="13.5" customHeight="1">
      <c r="A453" s="94" t="n"/>
      <c r="B453" s="94" t="n"/>
      <c r="C453" s="94" t="n"/>
      <c r="D453" s="94" t="n"/>
      <c r="E453" s="282" t="n"/>
      <c r="F453" s="282" t="n"/>
      <c r="G453" s="94" t="n"/>
      <c r="H453" s="94" t="n"/>
      <c r="I453" s="94" t="n"/>
      <c r="J453" s="94" t="n"/>
      <c r="K453" s="94" t="n"/>
      <c r="L453" s="94" t="n"/>
    </row>
    <row r="454" ht="13.5" customHeight="1">
      <c r="A454" s="94" t="n"/>
      <c r="B454" s="94" t="n"/>
      <c r="C454" s="94" t="n"/>
      <c r="D454" s="94" t="n"/>
      <c r="E454" s="282" t="n"/>
      <c r="F454" s="282" t="n"/>
      <c r="G454" s="94" t="n"/>
      <c r="H454" s="94" t="n"/>
      <c r="I454" s="94" t="n"/>
      <c r="J454" s="94" t="n"/>
      <c r="K454" s="94" t="n"/>
      <c r="L454" s="94" t="n"/>
    </row>
    <row r="455" ht="13.5" customHeight="1">
      <c r="A455" s="94" t="n"/>
      <c r="B455" s="94" t="n"/>
      <c r="C455" s="94" t="n"/>
      <c r="D455" s="94" t="n"/>
      <c r="E455" s="282" t="n"/>
      <c r="F455" s="282" t="n"/>
      <c r="G455" s="94" t="n"/>
      <c r="H455" s="94" t="n"/>
      <c r="I455" s="94" t="n"/>
      <c r="J455" s="94" t="n"/>
      <c r="K455" s="94" t="n"/>
      <c r="L455" s="94" t="n"/>
    </row>
    <row r="456" ht="13.5" customHeight="1">
      <c r="A456" s="94" t="n"/>
      <c r="B456" s="94" t="n"/>
      <c r="C456" s="94" t="n"/>
      <c r="D456" s="94" t="n"/>
      <c r="E456" s="282" t="n"/>
      <c r="F456" s="282" t="n"/>
      <c r="G456" s="94" t="n"/>
      <c r="H456" s="94" t="n"/>
      <c r="I456" s="94" t="n"/>
      <c r="J456" s="94" t="n"/>
      <c r="K456" s="94" t="n"/>
      <c r="L456" s="94" t="n"/>
    </row>
    <row r="457" ht="13.5" customHeight="1">
      <c r="A457" s="94" t="n"/>
      <c r="B457" s="94" t="n"/>
      <c r="C457" s="94" t="n"/>
      <c r="D457" s="94" t="n"/>
      <c r="E457" s="282" t="n"/>
      <c r="F457" s="282" t="n"/>
      <c r="G457" s="94" t="n"/>
      <c r="H457" s="94" t="n"/>
      <c r="I457" s="94" t="n"/>
      <c r="J457" s="94" t="n"/>
      <c r="K457" s="94" t="n"/>
      <c r="L457" s="94" t="n"/>
    </row>
    <row r="458" ht="13.5" customHeight="1">
      <c r="A458" s="94" t="n"/>
      <c r="B458" s="94" t="n"/>
      <c r="C458" s="94" t="n"/>
      <c r="D458" s="94" t="n"/>
      <c r="E458" s="282" t="n"/>
      <c r="F458" s="282" t="n"/>
      <c r="G458" s="94" t="n"/>
      <c r="H458" s="94" t="n"/>
      <c r="I458" s="94" t="n"/>
      <c r="J458" s="94" t="n"/>
      <c r="K458" s="94" t="n"/>
      <c r="L458" s="94" t="n"/>
    </row>
    <row r="459" ht="13.5" customHeight="1">
      <c r="A459" s="94" t="n"/>
      <c r="B459" s="94" t="n"/>
      <c r="C459" s="94" t="n"/>
      <c r="D459" s="94" t="n"/>
      <c r="E459" s="282" t="n"/>
      <c r="F459" s="282" t="n"/>
      <c r="G459" s="94" t="n"/>
      <c r="H459" s="94" t="n"/>
      <c r="I459" s="94" t="n"/>
      <c r="J459" s="94" t="n"/>
      <c r="K459" s="94" t="n"/>
      <c r="L459" s="94" t="n"/>
    </row>
    <row r="460" ht="13.5" customHeight="1">
      <c r="A460" s="94" t="n"/>
      <c r="B460" s="94" t="n"/>
      <c r="C460" s="94" t="n"/>
      <c r="D460" s="94" t="n"/>
      <c r="E460" s="282" t="n"/>
      <c r="F460" s="282" t="n"/>
      <c r="G460" s="94" t="n"/>
      <c r="H460" s="94" t="n"/>
      <c r="I460" s="94" t="n"/>
      <c r="J460" s="94" t="n"/>
      <c r="K460" s="94" t="n"/>
      <c r="L460" s="94" t="n"/>
    </row>
    <row r="461" ht="13.5" customHeight="1">
      <c r="A461" s="94" t="n"/>
      <c r="B461" s="94" t="n"/>
      <c r="C461" s="94" t="n"/>
      <c r="D461" s="94" t="n"/>
      <c r="E461" s="282" t="n"/>
      <c r="F461" s="282" t="n"/>
      <c r="G461" s="94" t="n"/>
      <c r="H461" s="94" t="n"/>
      <c r="I461" s="94" t="n"/>
      <c r="J461" s="94" t="n"/>
      <c r="K461" s="94" t="n"/>
      <c r="L461" s="94" t="n"/>
    </row>
    <row r="462" ht="13.5" customHeight="1">
      <c r="A462" s="94" t="n"/>
      <c r="B462" s="94" t="n"/>
      <c r="C462" s="94" t="n"/>
      <c r="D462" s="94" t="n"/>
      <c r="E462" s="282" t="n"/>
      <c r="F462" s="282" t="n"/>
      <c r="G462" s="94" t="n"/>
      <c r="H462" s="94" t="n"/>
      <c r="I462" s="94" t="n"/>
      <c r="J462" s="94" t="n"/>
      <c r="K462" s="94" t="n"/>
      <c r="L462" s="94" t="n"/>
    </row>
    <row r="463" ht="13.5" customHeight="1">
      <c r="A463" s="94" t="n"/>
      <c r="B463" s="94" t="n"/>
      <c r="C463" s="94" t="n"/>
      <c r="D463" s="94" t="n"/>
      <c r="E463" s="282" t="n"/>
      <c r="F463" s="282" t="n"/>
      <c r="G463" s="94" t="n"/>
      <c r="H463" s="94" t="n"/>
      <c r="I463" s="94" t="n"/>
      <c r="J463" s="94" t="n"/>
      <c r="K463" s="94" t="n"/>
      <c r="L463" s="94" t="n"/>
    </row>
    <row r="464" ht="13.5" customHeight="1">
      <c r="A464" s="94" t="n"/>
      <c r="B464" s="94" t="n"/>
      <c r="C464" s="94" t="n"/>
      <c r="D464" s="94" t="n"/>
      <c r="E464" s="282" t="n"/>
      <c r="F464" s="282" t="n"/>
      <c r="G464" s="94" t="n"/>
      <c r="H464" s="94" t="n"/>
      <c r="I464" s="94" t="n"/>
      <c r="J464" s="94" t="n"/>
      <c r="K464" s="94" t="n"/>
      <c r="L464" s="94" t="n"/>
    </row>
    <row r="465" ht="13.5" customHeight="1">
      <c r="A465" s="94" t="n"/>
      <c r="B465" s="94" t="n"/>
      <c r="C465" s="94" t="n"/>
      <c r="D465" s="94" t="n"/>
      <c r="E465" s="282" t="n"/>
      <c r="F465" s="282" t="n"/>
      <c r="G465" s="94" t="n"/>
      <c r="H465" s="94" t="n"/>
      <c r="I465" s="94" t="n"/>
      <c r="J465" s="94" t="n"/>
      <c r="K465" s="94" t="n"/>
      <c r="L465" s="94" t="n"/>
    </row>
    <row r="466" ht="13.5" customHeight="1">
      <c r="A466" s="94" t="n"/>
      <c r="B466" s="94" t="n"/>
      <c r="C466" s="94" t="n"/>
      <c r="D466" s="94" t="n"/>
      <c r="E466" s="282" t="n"/>
      <c r="F466" s="282" t="n"/>
      <c r="G466" s="94" t="n"/>
      <c r="H466" s="94" t="n"/>
      <c r="I466" s="94" t="n"/>
      <c r="J466" s="94" t="n"/>
      <c r="K466" s="94" t="n"/>
      <c r="L466" s="94" t="n"/>
    </row>
    <row r="467" ht="13.5" customHeight="1">
      <c r="A467" s="94" t="n"/>
      <c r="B467" s="94" t="n"/>
      <c r="C467" s="94" t="n"/>
      <c r="D467" s="94" t="n"/>
      <c r="E467" s="282" t="n"/>
      <c r="F467" s="282" t="n"/>
      <c r="G467" s="94" t="n"/>
      <c r="H467" s="94" t="n"/>
      <c r="I467" s="94" t="n"/>
      <c r="J467" s="94" t="n"/>
      <c r="K467" s="94" t="n"/>
      <c r="L467" s="94" t="n"/>
    </row>
    <row r="468" ht="13.5" customHeight="1">
      <c r="A468" s="94" t="n"/>
      <c r="B468" s="94" t="n"/>
      <c r="C468" s="94" t="n"/>
      <c r="D468" s="94" t="n"/>
      <c r="E468" s="282" t="n"/>
      <c r="F468" s="282" t="n"/>
      <c r="G468" s="94" t="n"/>
      <c r="H468" s="94" t="n"/>
      <c r="I468" s="94" t="n"/>
      <c r="J468" s="94" t="n"/>
      <c r="K468" s="94" t="n"/>
      <c r="L468" s="94" t="n"/>
    </row>
    <row r="469" ht="13.5" customHeight="1">
      <c r="A469" s="94" t="n"/>
      <c r="B469" s="94" t="n"/>
      <c r="C469" s="94" t="n"/>
      <c r="D469" s="94" t="n"/>
      <c r="E469" s="282" t="n"/>
      <c r="F469" s="282" t="n"/>
      <c r="G469" s="94" t="n"/>
      <c r="H469" s="94" t="n"/>
      <c r="I469" s="94" t="n"/>
      <c r="J469" s="94" t="n"/>
      <c r="K469" s="94" t="n"/>
      <c r="L469" s="94" t="n"/>
    </row>
    <row r="470" ht="13.5" customHeight="1">
      <c r="A470" s="94" t="n"/>
      <c r="B470" s="94" t="n"/>
      <c r="C470" s="94" t="n"/>
      <c r="D470" s="94" t="n"/>
      <c r="E470" s="282" t="n"/>
      <c r="F470" s="282" t="n"/>
      <c r="G470" s="94" t="n"/>
      <c r="H470" s="94" t="n"/>
      <c r="I470" s="94" t="n"/>
      <c r="J470" s="94" t="n"/>
      <c r="K470" s="94" t="n"/>
      <c r="L470" s="94" t="n"/>
    </row>
    <row r="471" ht="13.5" customHeight="1">
      <c r="A471" s="94" t="n"/>
      <c r="B471" s="94" t="n"/>
      <c r="C471" s="94" t="n"/>
      <c r="D471" s="94" t="n"/>
      <c r="E471" s="282" t="n"/>
      <c r="F471" s="282" t="n"/>
      <c r="G471" s="94" t="n"/>
      <c r="H471" s="94" t="n"/>
      <c r="I471" s="94" t="n"/>
      <c r="J471" s="94" t="n"/>
      <c r="K471" s="94" t="n"/>
      <c r="L471" s="94" t="n"/>
    </row>
    <row r="472" ht="13.5" customHeight="1">
      <c r="A472" s="94" t="n"/>
      <c r="B472" s="94" t="n"/>
      <c r="C472" s="94" t="n"/>
      <c r="D472" s="94" t="n"/>
      <c r="E472" s="282" t="n"/>
      <c r="F472" s="282" t="n"/>
      <c r="G472" s="94" t="n"/>
      <c r="H472" s="94" t="n"/>
      <c r="I472" s="94" t="n"/>
      <c r="J472" s="94" t="n"/>
      <c r="K472" s="94" t="n"/>
      <c r="L472" s="94" t="n"/>
    </row>
    <row r="473" ht="13.5" customHeight="1">
      <c r="A473" s="94" t="n"/>
      <c r="B473" s="94" t="n"/>
      <c r="C473" s="94" t="n"/>
      <c r="D473" s="94" t="n"/>
      <c r="E473" s="282" t="n"/>
      <c r="F473" s="282" t="n"/>
      <c r="G473" s="94" t="n"/>
      <c r="H473" s="94" t="n"/>
      <c r="I473" s="94" t="n"/>
      <c r="J473" s="94" t="n"/>
      <c r="K473" s="94" t="n"/>
      <c r="L473" s="94" t="n"/>
    </row>
    <row r="474" ht="13.5" customHeight="1">
      <c r="A474" s="94" t="n"/>
      <c r="B474" s="94" t="n"/>
      <c r="C474" s="94" t="n"/>
      <c r="D474" s="94" t="n"/>
      <c r="E474" s="282" t="n"/>
      <c r="F474" s="282" t="n"/>
      <c r="G474" s="94" t="n"/>
      <c r="H474" s="94" t="n"/>
      <c r="I474" s="94" t="n"/>
      <c r="J474" s="94" t="n"/>
      <c r="K474" s="94" t="n"/>
      <c r="L474" s="94" t="n"/>
    </row>
    <row r="475" ht="13.5" customHeight="1">
      <c r="A475" s="94" t="n"/>
      <c r="B475" s="94" t="n"/>
      <c r="C475" s="94" t="n"/>
      <c r="D475" s="94" t="n"/>
      <c r="E475" s="282" t="n"/>
      <c r="F475" s="282" t="n"/>
      <c r="G475" s="94" t="n"/>
      <c r="H475" s="94" t="n"/>
      <c r="I475" s="94" t="n"/>
      <c r="J475" s="94" t="n"/>
      <c r="K475" s="94" t="n"/>
      <c r="L475" s="94" t="n"/>
    </row>
    <row r="476" ht="13.5" customHeight="1">
      <c r="A476" s="94" t="n"/>
      <c r="B476" s="94" t="n"/>
      <c r="C476" s="94" t="n"/>
      <c r="D476" s="94" t="n"/>
      <c r="E476" s="282" t="n"/>
      <c r="F476" s="282" t="n"/>
      <c r="G476" s="94" t="n"/>
      <c r="H476" s="94" t="n"/>
      <c r="I476" s="94" t="n"/>
      <c r="J476" s="94" t="n"/>
      <c r="K476" s="94" t="n"/>
      <c r="L476" s="94" t="n"/>
    </row>
    <row r="477" ht="13.5" customHeight="1">
      <c r="A477" s="94" t="n"/>
      <c r="B477" s="94" t="n"/>
      <c r="C477" s="94" t="n"/>
      <c r="D477" s="94" t="n"/>
      <c r="E477" s="282" t="n"/>
      <c r="F477" s="282" t="n"/>
      <c r="G477" s="94" t="n"/>
      <c r="H477" s="94" t="n"/>
      <c r="I477" s="94" t="n"/>
      <c r="J477" s="94" t="n"/>
      <c r="K477" s="94" t="n"/>
      <c r="L477" s="94" t="n"/>
    </row>
    <row r="478" ht="13.5" customHeight="1">
      <c r="A478" s="94" t="n"/>
      <c r="B478" s="94" t="n"/>
      <c r="C478" s="94" t="n"/>
      <c r="D478" s="94" t="n"/>
      <c r="E478" s="282" t="n"/>
      <c r="F478" s="282" t="n"/>
      <c r="G478" s="94" t="n"/>
      <c r="H478" s="94" t="n"/>
      <c r="I478" s="94" t="n"/>
      <c r="J478" s="94" t="n"/>
      <c r="K478" s="94" t="n"/>
      <c r="L478" s="94" t="n"/>
    </row>
    <row r="479" ht="13.5" customHeight="1">
      <c r="A479" s="94" t="n"/>
      <c r="B479" s="94" t="n"/>
      <c r="C479" s="94" t="n"/>
      <c r="D479" s="94" t="n"/>
      <c r="E479" s="282" t="n"/>
      <c r="F479" s="282" t="n"/>
      <c r="G479" s="94" t="n"/>
      <c r="H479" s="94" t="n"/>
      <c r="I479" s="94" t="n"/>
      <c r="J479" s="94" t="n"/>
      <c r="K479" s="94" t="n"/>
      <c r="L479" s="94" t="n"/>
    </row>
    <row r="480" ht="13.5" customHeight="1">
      <c r="A480" s="94" t="n"/>
      <c r="B480" s="94" t="n"/>
      <c r="C480" s="94" t="n"/>
      <c r="D480" s="94" t="n"/>
      <c r="E480" s="282" t="n"/>
      <c r="F480" s="282" t="n"/>
      <c r="G480" s="94" t="n"/>
      <c r="H480" s="94" t="n"/>
      <c r="I480" s="94" t="n"/>
      <c r="J480" s="94" t="n"/>
      <c r="K480" s="94" t="n"/>
      <c r="L480" s="94" t="n"/>
    </row>
    <row r="481" ht="13.5" customHeight="1">
      <c r="A481" s="94" t="n"/>
      <c r="B481" s="94" t="n"/>
      <c r="C481" s="94" t="n"/>
      <c r="D481" s="94" t="n"/>
      <c r="E481" s="282" t="n"/>
      <c r="F481" s="282" t="n"/>
      <c r="G481" s="94" t="n"/>
      <c r="H481" s="94" t="n"/>
      <c r="I481" s="94" t="n"/>
      <c r="J481" s="94" t="n"/>
      <c r="K481" s="94" t="n"/>
      <c r="L481" s="94" t="n"/>
    </row>
    <row r="482" ht="13.5" customHeight="1">
      <c r="A482" s="94" t="n"/>
      <c r="B482" s="94" t="n"/>
      <c r="C482" s="94" t="n"/>
      <c r="D482" s="94" t="n"/>
      <c r="E482" s="282" t="n"/>
      <c r="F482" s="282" t="n"/>
      <c r="G482" s="94" t="n"/>
      <c r="H482" s="94" t="n"/>
      <c r="I482" s="94" t="n"/>
      <c r="J482" s="94" t="n"/>
      <c r="K482" s="94" t="n"/>
      <c r="L482" s="94" t="n"/>
    </row>
    <row r="483" ht="13.5" customHeight="1">
      <c r="A483" s="94" t="n"/>
      <c r="B483" s="94" t="n"/>
      <c r="C483" s="94" t="n"/>
      <c r="D483" s="94" t="n"/>
      <c r="E483" s="282" t="n"/>
      <c r="F483" s="282" t="n"/>
      <c r="G483" s="94" t="n"/>
      <c r="H483" s="94" t="n"/>
      <c r="I483" s="94" t="n"/>
      <c r="J483" s="94" t="n"/>
      <c r="K483" s="94" t="n"/>
      <c r="L483" s="94" t="n"/>
    </row>
    <row r="484" ht="13.5" customHeight="1">
      <c r="A484" s="94" t="n"/>
      <c r="B484" s="94" t="n"/>
      <c r="C484" s="94" t="n"/>
      <c r="D484" s="94" t="n"/>
      <c r="E484" s="282" t="n"/>
      <c r="F484" s="282" t="n"/>
      <c r="G484" s="94" t="n"/>
      <c r="H484" s="94" t="n"/>
      <c r="I484" s="94" t="n"/>
      <c r="J484" s="94" t="n"/>
      <c r="K484" s="94" t="n"/>
      <c r="L484" s="94" t="n"/>
    </row>
    <row r="485" ht="13.5" customHeight="1">
      <c r="A485" s="94" t="n"/>
      <c r="B485" s="94" t="n"/>
      <c r="C485" s="94" t="n"/>
      <c r="D485" s="94" t="n"/>
      <c r="E485" s="282" t="n"/>
      <c r="F485" s="282" t="n"/>
      <c r="G485" s="94" t="n"/>
      <c r="H485" s="94" t="n"/>
      <c r="I485" s="94" t="n"/>
      <c r="J485" s="94" t="n"/>
      <c r="K485" s="94" t="n"/>
      <c r="L485" s="94" t="n"/>
    </row>
    <row r="486" ht="13.5" customHeight="1">
      <c r="A486" s="94" t="n"/>
      <c r="B486" s="94" t="n"/>
      <c r="C486" s="94" t="n"/>
      <c r="D486" s="94" t="n"/>
      <c r="E486" s="282" t="n"/>
      <c r="F486" s="282" t="n"/>
      <c r="G486" s="94" t="n"/>
      <c r="H486" s="94" t="n"/>
      <c r="I486" s="94" t="n"/>
      <c r="J486" s="94" t="n"/>
      <c r="K486" s="94" t="n"/>
      <c r="L486" s="94" t="n"/>
    </row>
    <row r="487" ht="13.5" customHeight="1">
      <c r="A487" s="94" t="n"/>
      <c r="B487" s="94" t="n"/>
      <c r="C487" s="94" t="n"/>
      <c r="D487" s="94" t="n"/>
      <c r="E487" s="282" t="n"/>
      <c r="F487" s="282" t="n"/>
      <c r="G487" s="94" t="n"/>
      <c r="H487" s="94" t="n"/>
      <c r="I487" s="94" t="n"/>
      <c r="J487" s="94" t="n"/>
      <c r="K487" s="94" t="n"/>
      <c r="L487" s="94" t="n"/>
    </row>
    <row r="488" ht="13.5" customHeight="1">
      <c r="A488" s="94" t="n"/>
      <c r="B488" s="94" t="n"/>
      <c r="C488" s="94" t="n"/>
      <c r="D488" s="94" t="n"/>
      <c r="E488" s="282" t="n"/>
      <c r="F488" s="282" t="n"/>
      <c r="G488" s="94" t="n"/>
      <c r="H488" s="94" t="n"/>
      <c r="I488" s="94" t="n"/>
      <c r="J488" s="94" t="n"/>
      <c r="K488" s="94" t="n"/>
      <c r="L488" s="94" t="n"/>
    </row>
    <row r="489" ht="13.5" customHeight="1">
      <c r="A489" s="94" t="n"/>
      <c r="B489" s="94" t="n"/>
      <c r="C489" s="94" t="n"/>
      <c r="D489" s="94" t="n"/>
      <c r="E489" s="282" t="n"/>
      <c r="F489" s="282" t="n"/>
      <c r="G489" s="94" t="n"/>
      <c r="H489" s="94" t="n"/>
      <c r="I489" s="94" t="n"/>
      <c r="J489" s="94" t="n"/>
      <c r="K489" s="94" t="n"/>
      <c r="L489" s="94" t="n"/>
    </row>
    <row r="490" ht="13.5" customHeight="1">
      <c r="A490" s="94" t="n"/>
      <c r="B490" s="94" t="n"/>
      <c r="C490" s="94" t="n"/>
      <c r="D490" s="94" t="n"/>
      <c r="E490" s="282" t="n"/>
      <c r="F490" s="282" t="n"/>
      <c r="G490" s="94" t="n"/>
      <c r="H490" s="94" t="n"/>
      <c r="I490" s="94" t="n"/>
      <c r="J490" s="94" t="n"/>
      <c r="K490" s="94" t="n"/>
      <c r="L490" s="94" t="n"/>
    </row>
    <row r="491" ht="13.5" customHeight="1">
      <c r="A491" s="94" t="n"/>
      <c r="B491" s="94" t="n"/>
      <c r="C491" s="94" t="n"/>
      <c r="D491" s="94" t="n"/>
      <c r="E491" s="282" t="n"/>
      <c r="F491" s="282" t="n"/>
      <c r="G491" s="94" t="n"/>
      <c r="H491" s="94" t="n"/>
      <c r="I491" s="94" t="n"/>
      <c r="J491" s="94" t="n"/>
      <c r="K491" s="94" t="n"/>
      <c r="L491" s="94" t="n"/>
    </row>
    <row r="492" ht="13.5" customHeight="1">
      <c r="A492" s="94" t="n"/>
      <c r="B492" s="94" t="n"/>
      <c r="C492" s="94" t="n"/>
      <c r="D492" s="94" t="n"/>
      <c r="E492" s="282" t="n"/>
      <c r="F492" s="282" t="n"/>
      <c r="G492" s="94" t="n"/>
      <c r="H492" s="94" t="n"/>
      <c r="I492" s="94" t="n"/>
      <c r="J492" s="94" t="n"/>
      <c r="K492" s="94" t="n"/>
      <c r="L492" s="94" t="n"/>
    </row>
    <row r="493" ht="13.5" customHeight="1">
      <c r="A493" s="94" t="n"/>
      <c r="B493" s="94" t="n"/>
      <c r="C493" s="94" t="n"/>
      <c r="D493" s="94" t="n"/>
      <c r="E493" s="282" t="n"/>
      <c r="F493" s="282" t="n"/>
      <c r="G493" s="94" t="n"/>
      <c r="H493" s="94" t="n"/>
      <c r="I493" s="94" t="n"/>
      <c r="J493" s="94" t="n"/>
      <c r="K493" s="94" t="n"/>
      <c r="L493" s="94" t="n"/>
    </row>
    <row r="494" ht="13.5" customHeight="1">
      <c r="A494" s="94" t="n"/>
      <c r="B494" s="94" t="n"/>
      <c r="C494" s="94" t="n"/>
      <c r="D494" s="94" t="n"/>
      <c r="E494" s="282" t="n"/>
      <c r="F494" s="282" t="n"/>
      <c r="G494" s="94" t="n"/>
      <c r="H494" s="94" t="n"/>
      <c r="I494" s="94" t="n"/>
      <c r="J494" s="94" t="n"/>
      <c r="K494" s="94" t="n"/>
      <c r="L494" s="94" t="n"/>
    </row>
    <row r="495" ht="13.5" customHeight="1">
      <c r="A495" s="94" t="n"/>
      <c r="B495" s="94" t="n"/>
      <c r="C495" s="94" t="n"/>
      <c r="D495" s="94" t="n"/>
      <c r="E495" s="282" t="n"/>
      <c r="F495" s="282" t="n"/>
      <c r="G495" s="94" t="n"/>
      <c r="H495" s="94" t="n"/>
      <c r="I495" s="94" t="n"/>
      <c r="J495" s="94" t="n"/>
      <c r="K495" s="94" t="n"/>
      <c r="L495" s="94" t="n"/>
    </row>
    <row r="496" ht="13.5" customHeight="1">
      <c r="A496" s="94" t="n"/>
      <c r="B496" s="94" t="n"/>
      <c r="C496" s="94" t="n"/>
      <c r="D496" s="94" t="n"/>
      <c r="E496" s="282" t="n"/>
      <c r="F496" s="282" t="n"/>
      <c r="G496" s="94" t="n"/>
      <c r="H496" s="94" t="n"/>
      <c r="I496" s="94" t="n"/>
      <c r="J496" s="94" t="n"/>
      <c r="K496" s="94" t="n"/>
      <c r="L496" s="94" t="n"/>
    </row>
    <row r="497" ht="13.5" customHeight="1">
      <c r="A497" s="94" t="n"/>
      <c r="B497" s="94" t="n"/>
      <c r="C497" s="94" t="n"/>
      <c r="D497" s="94" t="n"/>
      <c r="E497" s="282" t="n"/>
      <c r="F497" s="282" t="n"/>
      <c r="G497" s="94" t="n"/>
      <c r="H497" s="94" t="n"/>
      <c r="I497" s="94" t="n"/>
      <c r="J497" s="94" t="n"/>
      <c r="K497" s="94" t="n"/>
      <c r="L497" s="94" t="n"/>
    </row>
    <row r="498" ht="13.5" customHeight="1">
      <c r="A498" s="94" t="n"/>
      <c r="B498" s="94" t="n"/>
      <c r="C498" s="94" t="n"/>
      <c r="D498" s="94" t="n"/>
      <c r="E498" s="282" t="n"/>
      <c r="F498" s="282" t="n"/>
      <c r="G498" s="94" t="n"/>
      <c r="H498" s="94" t="n"/>
      <c r="I498" s="94" t="n"/>
      <c r="J498" s="94" t="n"/>
      <c r="K498" s="94" t="n"/>
      <c r="L498" s="94" t="n"/>
    </row>
    <row r="499" ht="13.5" customHeight="1">
      <c r="A499" s="94" t="n"/>
      <c r="B499" s="94" t="n"/>
      <c r="C499" s="94" t="n"/>
      <c r="D499" s="94" t="n"/>
      <c r="E499" s="282" t="n"/>
      <c r="F499" s="282" t="n"/>
      <c r="G499" s="94" t="n"/>
      <c r="H499" s="94" t="n"/>
      <c r="I499" s="94" t="n"/>
      <c r="J499" s="94" t="n"/>
      <c r="K499" s="94" t="n"/>
      <c r="L499" s="94" t="n"/>
    </row>
    <row r="500" ht="13.5" customHeight="1">
      <c r="A500" s="94" t="n"/>
      <c r="B500" s="94" t="n"/>
      <c r="C500" s="94" t="n"/>
      <c r="D500" s="94" t="n"/>
      <c r="E500" s="282" t="n"/>
      <c r="F500" s="282" t="n"/>
      <c r="G500" s="94" t="n"/>
      <c r="H500" s="94" t="n"/>
      <c r="I500" s="94" t="n"/>
      <c r="J500" s="94" t="n"/>
      <c r="K500" s="94" t="n"/>
      <c r="L500" s="94" t="n"/>
    </row>
    <row r="501" ht="13.5" customHeight="1">
      <c r="A501" s="94" t="n"/>
      <c r="B501" s="94" t="n"/>
      <c r="C501" s="94" t="n"/>
      <c r="D501" s="94" t="n"/>
      <c r="E501" s="282" t="n"/>
      <c r="F501" s="282" t="n"/>
      <c r="G501" s="94" t="n"/>
      <c r="H501" s="94" t="n"/>
      <c r="I501" s="94" t="n"/>
      <c r="J501" s="94" t="n"/>
      <c r="K501" s="94" t="n"/>
      <c r="L501" s="94" t="n"/>
    </row>
    <row r="502" ht="13.5" customHeight="1">
      <c r="A502" s="94" t="n"/>
      <c r="B502" s="94" t="n"/>
      <c r="C502" s="94" t="n"/>
      <c r="D502" s="94" t="n"/>
      <c r="E502" s="282" t="n"/>
      <c r="F502" s="282" t="n"/>
      <c r="G502" s="94" t="n"/>
      <c r="H502" s="94" t="n"/>
      <c r="I502" s="94" t="n"/>
      <c r="J502" s="94" t="n"/>
      <c r="K502" s="94" t="n"/>
      <c r="L502" s="94" t="n"/>
    </row>
    <row r="503" ht="13.5" customHeight="1">
      <c r="A503" s="94" t="n"/>
      <c r="B503" s="94" t="n"/>
      <c r="C503" s="94" t="n"/>
      <c r="D503" s="94" t="n"/>
      <c r="E503" s="282" t="n"/>
      <c r="F503" s="282" t="n"/>
      <c r="G503" s="94" t="n"/>
      <c r="H503" s="94" t="n"/>
      <c r="I503" s="94" t="n"/>
      <c r="J503" s="94" t="n"/>
      <c r="K503" s="94" t="n"/>
      <c r="L503" s="94" t="n"/>
    </row>
    <row r="504" ht="13.5" customHeight="1">
      <c r="A504" s="94" t="n"/>
      <c r="B504" s="94" t="n"/>
      <c r="C504" s="94" t="n"/>
      <c r="D504" s="94" t="n"/>
      <c r="E504" s="282" t="n"/>
      <c r="F504" s="282" t="n"/>
      <c r="G504" s="94" t="n"/>
      <c r="H504" s="94" t="n"/>
      <c r="I504" s="94" t="n"/>
      <c r="J504" s="94" t="n"/>
      <c r="K504" s="94" t="n"/>
      <c r="L504" s="94" t="n"/>
    </row>
    <row r="505" ht="13.5" customHeight="1">
      <c r="A505" s="94" t="n"/>
      <c r="B505" s="94" t="n"/>
      <c r="C505" s="94" t="n"/>
      <c r="D505" s="94" t="n"/>
      <c r="E505" s="282" t="n"/>
      <c r="F505" s="282" t="n"/>
      <c r="G505" s="94" t="n"/>
      <c r="H505" s="94" t="n"/>
      <c r="I505" s="94" t="n"/>
      <c r="J505" s="94" t="n"/>
      <c r="K505" s="94" t="n"/>
      <c r="L505" s="94" t="n"/>
    </row>
    <row r="506" ht="13.5" customHeight="1">
      <c r="A506" s="94" t="n"/>
      <c r="B506" s="94" t="n"/>
      <c r="C506" s="94" t="n"/>
      <c r="D506" s="94" t="n"/>
      <c r="E506" s="282" t="n"/>
      <c r="F506" s="282" t="n"/>
      <c r="G506" s="94" t="n"/>
      <c r="H506" s="94" t="n"/>
      <c r="I506" s="94" t="n"/>
      <c r="J506" s="94" t="n"/>
      <c r="K506" s="94" t="n"/>
      <c r="L506" s="94" t="n"/>
    </row>
    <row r="507" ht="13.5" customHeight="1">
      <c r="A507" s="94" t="n"/>
      <c r="B507" s="94" t="n"/>
      <c r="C507" s="94" t="n"/>
      <c r="D507" s="94" t="n"/>
      <c r="E507" s="282" t="n"/>
      <c r="F507" s="282" t="n"/>
      <c r="G507" s="94" t="n"/>
      <c r="H507" s="94" t="n"/>
      <c r="I507" s="94" t="n"/>
      <c r="J507" s="94" t="n"/>
      <c r="K507" s="94" t="n"/>
      <c r="L507" s="94" t="n"/>
    </row>
    <row r="508" ht="13.5" customHeight="1">
      <c r="A508" s="94" t="n"/>
      <c r="B508" s="94" t="n"/>
      <c r="C508" s="94" t="n"/>
      <c r="D508" s="94" t="n"/>
      <c r="E508" s="282" t="n"/>
      <c r="F508" s="282" t="n"/>
      <c r="G508" s="94" t="n"/>
      <c r="H508" s="94" t="n"/>
      <c r="I508" s="94" t="n"/>
      <c r="J508" s="94" t="n"/>
      <c r="K508" s="94" t="n"/>
      <c r="L508" s="94" t="n"/>
    </row>
    <row r="509" ht="13.5" customHeight="1">
      <c r="A509" s="94" t="n"/>
      <c r="B509" s="94" t="n"/>
      <c r="C509" s="94" t="n"/>
      <c r="D509" s="94" t="n"/>
      <c r="E509" s="282" t="n"/>
      <c r="F509" s="282" t="n"/>
      <c r="G509" s="94" t="n"/>
      <c r="H509" s="94" t="n"/>
      <c r="I509" s="94" t="n"/>
      <c r="J509" s="94" t="n"/>
      <c r="K509" s="94" t="n"/>
      <c r="L509" s="94" t="n"/>
    </row>
    <row r="510" ht="13.5" customHeight="1">
      <c r="A510" s="94" t="n"/>
      <c r="B510" s="94" t="n"/>
      <c r="C510" s="94" t="n"/>
      <c r="D510" s="94" t="n"/>
      <c r="E510" s="282" t="n"/>
      <c r="F510" s="282" t="n"/>
      <c r="G510" s="94" t="n"/>
      <c r="H510" s="94" t="n"/>
      <c r="I510" s="94" t="n"/>
      <c r="J510" s="94" t="n"/>
      <c r="K510" s="94" t="n"/>
      <c r="L510" s="94" t="n"/>
    </row>
    <row r="511" ht="13.5" customHeight="1">
      <c r="A511" s="94" t="n"/>
      <c r="B511" s="94" t="n"/>
      <c r="C511" s="94" t="n"/>
      <c r="D511" s="94" t="n"/>
      <c r="E511" s="282" t="n"/>
      <c r="F511" s="282" t="n"/>
      <c r="G511" s="94" t="n"/>
      <c r="H511" s="94" t="n"/>
      <c r="I511" s="94" t="n"/>
      <c r="J511" s="94" t="n"/>
      <c r="K511" s="94" t="n"/>
      <c r="L511" s="94" t="n"/>
    </row>
    <row r="512" ht="13.5" customHeight="1">
      <c r="A512" s="94" t="n"/>
      <c r="B512" s="94" t="n"/>
      <c r="C512" s="94" t="n"/>
      <c r="D512" s="94" t="n"/>
      <c r="E512" s="282" t="n"/>
      <c r="F512" s="282" t="n"/>
      <c r="G512" s="94" t="n"/>
      <c r="H512" s="94" t="n"/>
      <c r="I512" s="94" t="n"/>
      <c r="J512" s="94" t="n"/>
      <c r="K512" s="94" t="n"/>
      <c r="L512" s="94" t="n"/>
    </row>
    <row r="513" ht="13.5" customHeight="1">
      <c r="A513" s="94" t="n"/>
      <c r="B513" s="94" t="n"/>
      <c r="C513" s="94" t="n"/>
      <c r="D513" s="94" t="n"/>
      <c r="E513" s="282" t="n"/>
      <c r="F513" s="282" t="n"/>
      <c r="G513" s="94" t="n"/>
      <c r="H513" s="94" t="n"/>
      <c r="I513" s="94" t="n"/>
      <c r="J513" s="94" t="n"/>
      <c r="K513" s="94" t="n"/>
      <c r="L513" s="94" t="n"/>
    </row>
    <row r="514" ht="13.5" customHeight="1">
      <c r="A514" s="94" t="n"/>
      <c r="B514" s="94" t="n"/>
      <c r="C514" s="94" t="n"/>
      <c r="D514" s="94" t="n"/>
      <c r="E514" s="282" t="n"/>
      <c r="F514" s="282" t="n"/>
      <c r="G514" s="94" t="n"/>
      <c r="H514" s="94" t="n"/>
      <c r="I514" s="94" t="n"/>
      <c r="J514" s="94" t="n"/>
      <c r="K514" s="94" t="n"/>
      <c r="L514" s="94" t="n"/>
    </row>
    <row r="515" ht="13.5" customHeight="1">
      <c r="A515" s="94" t="n"/>
      <c r="B515" s="94" t="n"/>
      <c r="C515" s="94" t="n"/>
      <c r="D515" s="94" t="n"/>
      <c r="E515" s="282" t="n"/>
      <c r="F515" s="282" t="n"/>
      <c r="G515" s="94" t="n"/>
      <c r="H515" s="94" t="n"/>
      <c r="I515" s="94" t="n"/>
      <c r="J515" s="94" t="n"/>
      <c r="K515" s="94" t="n"/>
      <c r="L515" s="94" t="n"/>
    </row>
    <row r="516" ht="13.5" customHeight="1">
      <c r="A516" s="94" t="n"/>
      <c r="B516" s="94" t="n"/>
      <c r="C516" s="94" t="n"/>
      <c r="D516" s="94" t="n"/>
      <c r="E516" s="282" t="n"/>
      <c r="F516" s="282" t="n"/>
      <c r="G516" s="94" t="n"/>
      <c r="H516" s="94" t="n"/>
      <c r="I516" s="94" t="n"/>
      <c r="J516" s="94" t="n"/>
      <c r="K516" s="94" t="n"/>
      <c r="L516" s="94" t="n"/>
    </row>
    <row r="517" ht="13.5" customHeight="1">
      <c r="A517" s="94" t="n"/>
      <c r="B517" s="94" t="n"/>
      <c r="C517" s="94" t="n"/>
      <c r="D517" s="94" t="n"/>
      <c r="E517" s="282" t="n"/>
      <c r="F517" s="282" t="n"/>
      <c r="G517" s="94" t="n"/>
      <c r="H517" s="94" t="n"/>
      <c r="I517" s="94" t="n"/>
      <c r="J517" s="94" t="n"/>
      <c r="K517" s="94" t="n"/>
      <c r="L517" s="94" t="n"/>
    </row>
    <row r="518" ht="13.5" customHeight="1">
      <c r="A518" s="94" t="n"/>
      <c r="B518" s="94" t="n"/>
      <c r="C518" s="94" t="n"/>
      <c r="D518" s="94" t="n"/>
      <c r="E518" s="282" t="n"/>
      <c r="F518" s="282" t="n"/>
      <c r="G518" s="94" t="n"/>
      <c r="H518" s="94" t="n"/>
      <c r="I518" s="94" t="n"/>
      <c r="J518" s="94" t="n"/>
      <c r="K518" s="94" t="n"/>
      <c r="L518" s="94" t="n"/>
    </row>
    <row r="519" ht="13.5" customHeight="1">
      <c r="A519" s="94" t="n"/>
      <c r="B519" s="94" t="n"/>
      <c r="C519" s="94" t="n"/>
      <c r="D519" s="94" t="n"/>
      <c r="E519" s="282" t="n"/>
      <c r="F519" s="282" t="n"/>
      <c r="G519" s="94" t="n"/>
      <c r="H519" s="94" t="n"/>
      <c r="I519" s="94" t="n"/>
      <c r="J519" s="94" t="n"/>
      <c r="K519" s="94" t="n"/>
      <c r="L519" s="94" t="n"/>
    </row>
    <row r="520" ht="13.5" customHeight="1">
      <c r="A520" s="94" t="n"/>
      <c r="B520" s="94" t="n"/>
      <c r="C520" s="94" t="n"/>
      <c r="D520" s="94" t="n"/>
      <c r="E520" s="282" t="n"/>
      <c r="F520" s="282" t="n"/>
      <c r="G520" s="94" t="n"/>
      <c r="H520" s="94" t="n"/>
      <c r="I520" s="94" t="n"/>
      <c r="J520" s="94" t="n"/>
      <c r="K520" s="94" t="n"/>
      <c r="L520" s="94" t="n"/>
    </row>
    <row r="521" ht="13.5" customHeight="1">
      <c r="A521" s="94" t="n"/>
      <c r="B521" s="94" t="n"/>
      <c r="C521" s="94" t="n"/>
      <c r="D521" s="94" t="n"/>
      <c r="E521" s="282" t="n"/>
      <c r="F521" s="282" t="n"/>
      <c r="G521" s="94" t="n"/>
      <c r="H521" s="94" t="n"/>
      <c r="I521" s="94" t="n"/>
      <c r="J521" s="94" t="n"/>
      <c r="K521" s="94" t="n"/>
      <c r="L521" s="94" t="n"/>
    </row>
    <row r="522" ht="13.5" customHeight="1">
      <c r="A522" s="94" t="n"/>
      <c r="B522" s="94" t="n"/>
      <c r="C522" s="94" t="n"/>
      <c r="D522" s="94" t="n"/>
      <c r="E522" s="282" t="n"/>
      <c r="F522" s="282" t="n"/>
      <c r="G522" s="94" t="n"/>
      <c r="H522" s="94" t="n"/>
      <c r="I522" s="94" t="n"/>
      <c r="J522" s="94" t="n"/>
      <c r="K522" s="94" t="n"/>
      <c r="L522" s="94" t="n"/>
    </row>
    <row r="523" ht="13.5" customHeight="1">
      <c r="A523" s="94" t="n"/>
      <c r="B523" s="94" t="n"/>
      <c r="C523" s="94" t="n"/>
      <c r="D523" s="94" t="n"/>
      <c r="E523" s="282" t="n"/>
      <c r="F523" s="282" t="n"/>
      <c r="G523" s="94" t="n"/>
      <c r="H523" s="94" t="n"/>
      <c r="I523" s="94" t="n"/>
      <c r="J523" s="94" t="n"/>
      <c r="K523" s="94" t="n"/>
      <c r="L523" s="94" t="n"/>
    </row>
    <row r="524" ht="13.5" customHeight="1">
      <c r="A524" s="94" t="n"/>
      <c r="B524" s="94" t="n"/>
      <c r="C524" s="94" t="n"/>
      <c r="D524" s="94" t="n"/>
      <c r="E524" s="282" t="n"/>
      <c r="F524" s="282" t="n"/>
      <c r="G524" s="94" t="n"/>
      <c r="H524" s="94" t="n"/>
      <c r="I524" s="94" t="n"/>
      <c r="J524" s="94" t="n"/>
      <c r="K524" s="94" t="n"/>
      <c r="L524" s="94" t="n"/>
    </row>
    <row r="525" ht="13.5" customHeight="1">
      <c r="A525" s="94" t="n"/>
      <c r="B525" s="94" t="n"/>
      <c r="C525" s="94" t="n"/>
      <c r="D525" s="94" t="n"/>
      <c r="E525" s="282" t="n"/>
      <c r="F525" s="282" t="n"/>
      <c r="G525" s="94" t="n"/>
      <c r="H525" s="94" t="n"/>
      <c r="I525" s="94" t="n"/>
      <c r="J525" s="94" t="n"/>
      <c r="K525" s="94" t="n"/>
      <c r="L525" s="94" t="n"/>
    </row>
    <row r="526" ht="13.5" customHeight="1">
      <c r="A526" s="94" t="n"/>
      <c r="B526" s="94" t="n"/>
      <c r="C526" s="94" t="n"/>
      <c r="D526" s="94" t="n"/>
      <c r="E526" s="282" t="n"/>
      <c r="F526" s="282" t="n"/>
      <c r="G526" s="94" t="n"/>
      <c r="H526" s="94" t="n"/>
      <c r="I526" s="94" t="n"/>
      <c r="J526" s="94" t="n"/>
      <c r="K526" s="94" t="n"/>
      <c r="L526" s="94" t="n"/>
    </row>
    <row r="527" ht="13.5" customHeight="1">
      <c r="A527" s="94" t="n"/>
      <c r="B527" s="94" t="n"/>
      <c r="C527" s="94" t="n"/>
      <c r="D527" s="94" t="n"/>
      <c r="E527" s="282" t="n"/>
      <c r="F527" s="282" t="n"/>
      <c r="G527" s="94" t="n"/>
      <c r="H527" s="94" t="n"/>
      <c r="I527" s="94" t="n"/>
      <c r="J527" s="94" t="n"/>
      <c r="K527" s="94" t="n"/>
      <c r="L527" s="94" t="n"/>
    </row>
    <row r="528" ht="13.5" customHeight="1">
      <c r="A528" s="94" t="n"/>
      <c r="B528" s="94" t="n"/>
      <c r="C528" s="94" t="n"/>
      <c r="D528" s="94" t="n"/>
      <c r="E528" s="282" t="n"/>
      <c r="F528" s="282" t="n"/>
      <c r="G528" s="94" t="n"/>
      <c r="H528" s="94" t="n"/>
      <c r="I528" s="94" t="n"/>
      <c r="J528" s="94" t="n"/>
      <c r="K528" s="94" t="n"/>
      <c r="L528" s="94" t="n"/>
    </row>
    <row r="529" ht="13.5" customHeight="1">
      <c r="A529" s="94" t="n"/>
      <c r="B529" s="94" t="n"/>
      <c r="C529" s="94" t="n"/>
      <c r="D529" s="94" t="n"/>
      <c r="E529" s="282" t="n"/>
      <c r="F529" s="282" t="n"/>
      <c r="G529" s="94" t="n"/>
      <c r="H529" s="94" t="n"/>
      <c r="I529" s="94" t="n"/>
      <c r="J529" s="94" t="n"/>
      <c r="K529" s="94" t="n"/>
      <c r="L529" s="94" t="n"/>
    </row>
    <row r="530" ht="13.5" customHeight="1">
      <c r="A530" s="94" t="n"/>
      <c r="B530" s="94" t="n"/>
      <c r="C530" s="94" t="n"/>
      <c r="D530" s="94" t="n"/>
      <c r="E530" s="282" t="n"/>
      <c r="F530" s="282" t="n"/>
      <c r="G530" s="94" t="n"/>
      <c r="H530" s="94" t="n"/>
      <c r="I530" s="94" t="n"/>
      <c r="J530" s="94" t="n"/>
      <c r="K530" s="94" t="n"/>
      <c r="L530" s="94" t="n"/>
    </row>
    <row r="531" ht="13.5" customHeight="1">
      <c r="A531" s="94" t="n"/>
      <c r="B531" s="94" t="n"/>
      <c r="C531" s="94" t="n"/>
      <c r="D531" s="94" t="n"/>
      <c r="E531" s="282" t="n"/>
      <c r="F531" s="282" t="n"/>
      <c r="G531" s="94" t="n"/>
      <c r="H531" s="94" t="n"/>
      <c r="I531" s="94" t="n"/>
      <c r="J531" s="94" t="n"/>
      <c r="K531" s="94" t="n"/>
      <c r="L531" s="94" t="n"/>
    </row>
    <row r="532" ht="13.5" customHeight="1">
      <c r="A532" s="94" t="n"/>
      <c r="B532" s="94" t="n"/>
      <c r="C532" s="94" t="n"/>
      <c r="D532" s="94" t="n"/>
      <c r="E532" s="282" t="n"/>
      <c r="F532" s="282" t="n"/>
      <c r="G532" s="94" t="n"/>
      <c r="H532" s="94" t="n"/>
      <c r="I532" s="94" t="n"/>
      <c r="J532" s="94" t="n"/>
      <c r="K532" s="94" t="n"/>
      <c r="L532" s="94" t="n"/>
    </row>
    <row r="533" ht="13.5" customHeight="1">
      <c r="A533" s="94" t="n"/>
      <c r="B533" s="94" t="n"/>
      <c r="C533" s="94" t="n"/>
      <c r="D533" s="94" t="n"/>
      <c r="E533" s="282" t="n"/>
      <c r="F533" s="282" t="n"/>
      <c r="G533" s="94" t="n"/>
      <c r="H533" s="94" t="n"/>
      <c r="I533" s="94" t="n"/>
      <c r="J533" s="94" t="n"/>
      <c r="K533" s="94" t="n"/>
      <c r="L533" s="94" t="n"/>
    </row>
    <row r="534" ht="13.5" customHeight="1">
      <c r="A534" s="94" t="n"/>
      <c r="B534" s="94" t="n"/>
      <c r="C534" s="94" t="n"/>
      <c r="D534" s="94" t="n"/>
      <c r="E534" s="282" t="n"/>
      <c r="F534" s="282" t="n"/>
      <c r="G534" s="94" t="n"/>
      <c r="H534" s="94" t="n"/>
      <c r="I534" s="94" t="n"/>
      <c r="J534" s="94" t="n"/>
      <c r="K534" s="94" t="n"/>
      <c r="L534" s="94" t="n"/>
    </row>
    <row r="535" ht="13.5" customHeight="1">
      <c r="A535" s="94" t="n"/>
      <c r="B535" s="94" t="n"/>
      <c r="C535" s="94" t="n"/>
      <c r="D535" s="94" t="n"/>
      <c r="E535" s="282" t="n"/>
      <c r="F535" s="282" t="n"/>
      <c r="G535" s="94" t="n"/>
      <c r="H535" s="94" t="n"/>
      <c r="I535" s="94" t="n"/>
      <c r="J535" s="94" t="n"/>
      <c r="K535" s="94" t="n"/>
      <c r="L535" s="94" t="n"/>
    </row>
    <row r="536" ht="13.5" customHeight="1">
      <c r="A536" s="94" t="n"/>
      <c r="B536" s="94" t="n"/>
      <c r="C536" s="94" t="n"/>
      <c r="D536" s="94" t="n"/>
      <c r="E536" s="282" t="n"/>
      <c r="F536" s="282" t="n"/>
      <c r="G536" s="94" t="n"/>
      <c r="H536" s="94" t="n"/>
      <c r="I536" s="94" t="n"/>
      <c r="J536" s="94" t="n"/>
      <c r="K536" s="94" t="n"/>
      <c r="L536" s="94" t="n"/>
    </row>
    <row r="537" ht="13.5" customHeight="1">
      <c r="A537" s="94" t="n"/>
      <c r="B537" s="94" t="n"/>
      <c r="C537" s="94" t="n"/>
      <c r="D537" s="94" t="n"/>
      <c r="E537" s="282" t="n"/>
      <c r="F537" s="282" t="n"/>
      <c r="G537" s="94" t="n"/>
      <c r="H537" s="94" t="n"/>
      <c r="I537" s="94" t="n"/>
      <c r="J537" s="94" t="n"/>
      <c r="K537" s="94" t="n"/>
      <c r="L537" s="94" t="n"/>
    </row>
    <row r="538" ht="13.5" customHeight="1">
      <c r="A538" s="94" t="n"/>
      <c r="B538" s="94" t="n"/>
      <c r="C538" s="94" t="n"/>
      <c r="D538" s="94" t="n"/>
      <c r="E538" s="282" t="n"/>
      <c r="F538" s="282" t="n"/>
      <c r="G538" s="94" t="n"/>
      <c r="H538" s="94" t="n"/>
      <c r="I538" s="94" t="n"/>
      <c r="J538" s="94" t="n"/>
      <c r="K538" s="94" t="n"/>
      <c r="L538" s="94" t="n"/>
    </row>
    <row r="539" ht="13.5" customHeight="1">
      <c r="A539" s="94" t="n"/>
      <c r="B539" s="94" t="n"/>
      <c r="C539" s="94" t="n"/>
      <c r="D539" s="94" t="n"/>
      <c r="E539" s="282" t="n"/>
      <c r="F539" s="282" t="n"/>
      <c r="G539" s="94" t="n"/>
      <c r="H539" s="94" t="n"/>
      <c r="I539" s="94" t="n"/>
      <c r="J539" s="94" t="n"/>
      <c r="K539" s="94" t="n"/>
      <c r="L539" s="94" t="n"/>
    </row>
    <row r="540" ht="13.5" customHeight="1">
      <c r="A540" s="94" t="n"/>
      <c r="B540" s="94" t="n"/>
      <c r="C540" s="94" t="n"/>
      <c r="D540" s="94" t="n"/>
      <c r="E540" s="282" t="n"/>
      <c r="F540" s="282" t="n"/>
      <c r="G540" s="94" t="n"/>
      <c r="H540" s="94" t="n"/>
      <c r="I540" s="94" t="n"/>
      <c r="J540" s="94" t="n"/>
      <c r="K540" s="94" t="n"/>
      <c r="L540" s="94" t="n"/>
    </row>
    <row r="541" ht="13.5" customHeight="1">
      <c r="A541" s="94" t="n"/>
      <c r="B541" s="94" t="n"/>
      <c r="C541" s="94" t="n"/>
      <c r="D541" s="94" t="n"/>
      <c r="E541" s="282" t="n"/>
      <c r="F541" s="282" t="n"/>
      <c r="G541" s="94" t="n"/>
      <c r="H541" s="94" t="n"/>
      <c r="I541" s="94" t="n"/>
      <c r="J541" s="94" t="n"/>
      <c r="K541" s="94" t="n"/>
      <c r="L541" s="94" t="n"/>
    </row>
    <row r="542" ht="13.5" customHeight="1">
      <c r="A542" s="94" t="n"/>
      <c r="B542" s="94" t="n"/>
      <c r="C542" s="94" t="n"/>
      <c r="D542" s="94" t="n"/>
      <c r="E542" s="282" t="n"/>
      <c r="F542" s="282" t="n"/>
      <c r="G542" s="94" t="n"/>
      <c r="H542" s="94" t="n"/>
      <c r="I542" s="94" t="n"/>
      <c r="J542" s="94" t="n"/>
      <c r="K542" s="94" t="n"/>
      <c r="L542" s="94" t="n"/>
    </row>
    <row r="543" ht="13.5" customHeight="1">
      <c r="A543" s="94" t="n"/>
      <c r="B543" s="94" t="n"/>
      <c r="C543" s="94" t="n"/>
      <c r="D543" s="94" t="n"/>
      <c r="E543" s="282" t="n"/>
      <c r="F543" s="282" t="n"/>
      <c r="G543" s="94" t="n"/>
      <c r="H543" s="94" t="n"/>
      <c r="I543" s="94" t="n"/>
      <c r="J543" s="94" t="n"/>
      <c r="K543" s="94" t="n"/>
      <c r="L543" s="94" t="n"/>
    </row>
    <row r="544" ht="13.5" customHeight="1">
      <c r="A544" s="94" t="n"/>
      <c r="B544" s="94" t="n"/>
      <c r="C544" s="94" t="n"/>
      <c r="D544" s="94" t="n"/>
      <c r="E544" s="282" t="n"/>
      <c r="F544" s="282" t="n"/>
      <c r="G544" s="94" t="n"/>
      <c r="H544" s="94" t="n"/>
      <c r="I544" s="94" t="n"/>
      <c r="J544" s="94" t="n"/>
      <c r="K544" s="94" t="n"/>
      <c r="L544" s="94" t="n"/>
    </row>
    <row r="545" ht="13.5" customHeight="1">
      <c r="A545" s="94" t="n"/>
      <c r="B545" s="94" t="n"/>
      <c r="C545" s="94" t="n"/>
      <c r="D545" s="94" t="n"/>
      <c r="E545" s="282" t="n"/>
      <c r="F545" s="282" t="n"/>
      <c r="G545" s="94" t="n"/>
      <c r="H545" s="94" t="n"/>
      <c r="I545" s="94" t="n"/>
      <c r="J545" s="94" t="n"/>
      <c r="K545" s="94" t="n"/>
      <c r="L545" s="94" t="n"/>
    </row>
    <row r="546" ht="13.5" customHeight="1">
      <c r="A546" s="94" t="n"/>
      <c r="B546" s="94" t="n"/>
      <c r="C546" s="94" t="n"/>
      <c r="D546" s="94" t="n"/>
      <c r="E546" s="282" t="n"/>
      <c r="F546" s="282" t="n"/>
      <c r="G546" s="94" t="n"/>
      <c r="H546" s="94" t="n"/>
      <c r="I546" s="94" t="n"/>
      <c r="J546" s="94" t="n"/>
      <c r="K546" s="94" t="n"/>
      <c r="L546" s="94" t="n"/>
    </row>
    <row r="547" ht="13.5" customHeight="1">
      <c r="A547" s="94" t="n"/>
      <c r="B547" s="94" t="n"/>
      <c r="C547" s="94" t="n"/>
      <c r="D547" s="94" t="n"/>
      <c r="E547" s="282" t="n"/>
      <c r="F547" s="282" t="n"/>
      <c r="G547" s="94" t="n"/>
      <c r="H547" s="94" t="n"/>
      <c r="I547" s="94" t="n"/>
      <c r="J547" s="94" t="n"/>
      <c r="K547" s="94" t="n"/>
      <c r="L547" s="94" t="n"/>
    </row>
    <row r="548" ht="13.5" customHeight="1">
      <c r="A548" s="94" t="n"/>
      <c r="B548" s="94" t="n"/>
      <c r="C548" s="94" t="n"/>
      <c r="D548" s="94" t="n"/>
      <c r="E548" s="282" t="n"/>
      <c r="F548" s="282" t="n"/>
      <c r="G548" s="94" t="n"/>
      <c r="H548" s="94" t="n"/>
      <c r="I548" s="94" t="n"/>
      <c r="J548" s="94" t="n"/>
      <c r="K548" s="94" t="n"/>
      <c r="L548" s="94" t="n"/>
    </row>
    <row r="549" ht="13.5" customHeight="1">
      <c r="A549" s="94" t="n"/>
      <c r="B549" s="94" t="n"/>
      <c r="C549" s="94" t="n"/>
      <c r="D549" s="94" t="n"/>
      <c r="E549" s="282" t="n"/>
      <c r="F549" s="282" t="n"/>
      <c r="G549" s="94" t="n"/>
      <c r="H549" s="94" t="n"/>
      <c r="I549" s="94" t="n"/>
      <c r="J549" s="94" t="n"/>
      <c r="K549" s="94" t="n"/>
      <c r="L549" s="94" t="n"/>
    </row>
    <row r="550" ht="13.5" customHeight="1">
      <c r="A550" s="94" t="n"/>
      <c r="B550" s="94" t="n"/>
      <c r="C550" s="94" t="n"/>
      <c r="D550" s="94" t="n"/>
      <c r="E550" s="282" t="n"/>
      <c r="F550" s="282" t="n"/>
      <c r="G550" s="94" t="n"/>
      <c r="H550" s="94" t="n"/>
      <c r="I550" s="94" t="n"/>
      <c r="J550" s="94" t="n"/>
      <c r="K550" s="94" t="n"/>
      <c r="L550" s="94" t="n"/>
    </row>
    <row r="551" ht="13.5" customHeight="1">
      <c r="A551" s="94" t="n"/>
      <c r="B551" s="94" t="n"/>
      <c r="C551" s="94" t="n"/>
      <c r="D551" s="94" t="n"/>
      <c r="E551" s="282" t="n"/>
      <c r="F551" s="282" t="n"/>
      <c r="G551" s="94" t="n"/>
      <c r="H551" s="94" t="n"/>
      <c r="I551" s="94" t="n"/>
      <c r="J551" s="94" t="n"/>
      <c r="K551" s="94" t="n"/>
      <c r="L551" s="94" t="n"/>
    </row>
    <row r="552" ht="13.5" customHeight="1">
      <c r="A552" s="94" t="n"/>
      <c r="B552" s="94" t="n"/>
      <c r="C552" s="94" t="n"/>
      <c r="D552" s="94" t="n"/>
      <c r="E552" s="282" t="n"/>
      <c r="F552" s="282" t="n"/>
      <c r="G552" s="94" t="n"/>
      <c r="H552" s="94" t="n"/>
      <c r="I552" s="94" t="n"/>
      <c r="J552" s="94" t="n"/>
      <c r="K552" s="94" t="n"/>
      <c r="L552" s="94" t="n"/>
    </row>
    <row r="553" ht="13.5" customHeight="1">
      <c r="A553" s="94" t="n"/>
      <c r="B553" s="94" t="n"/>
      <c r="C553" s="94" t="n"/>
      <c r="D553" s="94" t="n"/>
      <c r="E553" s="282" t="n"/>
      <c r="F553" s="282" t="n"/>
      <c r="G553" s="94" t="n"/>
      <c r="H553" s="94" t="n"/>
      <c r="I553" s="94" t="n"/>
      <c r="J553" s="94" t="n"/>
      <c r="K553" s="94" t="n"/>
      <c r="L553" s="94" t="n"/>
    </row>
    <row r="554" ht="13.5" customHeight="1">
      <c r="A554" s="94" t="n"/>
      <c r="B554" s="94" t="n"/>
      <c r="C554" s="94" t="n"/>
      <c r="D554" s="94" t="n"/>
      <c r="E554" s="282" t="n"/>
      <c r="F554" s="282" t="n"/>
      <c r="G554" s="94" t="n"/>
      <c r="H554" s="94" t="n"/>
      <c r="I554" s="94" t="n"/>
      <c r="J554" s="94" t="n"/>
      <c r="K554" s="94" t="n"/>
      <c r="L554" s="94" t="n"/>
    </row>
    <row r="555" ht="13.5" customHeight="1">
      <c r="A555" s="94" t="n"/>
      <c r="B555" s="94" t="n"/>
      <c r="C555" s="94" t="n"/>
      <c r="D555" s="94" t="n"/>
      <c r="E555" s="282" t="n"/>
      <c r="F555" s="282" t="n"/>
      <c r="G555" s="94" t="n"/>
      <c r="H555" s="94" t="n"/>
      <c r="I555" s="94" t="n"/>
      <c r="J555" s="94" t="n"/>
      <c r="K555" s="94" t="n"/>
      <c r="L555" s="94" t="n"/>
    </row>
    <row r="556" ht="13.5" customHeight="1">
      <c r="A556" s="94" t="n"/>
      <c r="B556" s="94" t="n"/>
      <c r="C556" s="94" t="n"/>
      <c r="D556" s="94" t="n"/>
      <c r="E556" s="282" t="n"/>
      <c r="F556" s="282" t="n"/>
      <c r="G556" s="94" t="n"/>
      <c r="H556" s="94" t="n"/>
      <c r="I556" s="94" t="n"/>
      <c r="J556" s="94" t="n"/>
      <c r="K556" s="94" t="n"/>
      <c r="L556" s="94" t="n"/>
    </row>
    <row r="557" ht="13.5" customHeight="1">
      <c r="A557" s="94" t="n"/>
      <c r="B557" s="94" t="n"/>
      <c r="C557" s="94" t="n"/>
      <c r="D557" s="94" t="n"/>
      <c r="E557" s="282" t="n"/>
      <c r="F557" s="282" t="n"/>
      <c r="G557" s="94" t="n"/>
      <c r="H557" s="94" t="n"/>
      <c r="I557" s="94" t="n"/>
      <c r="J557" s="94" t="n"/>
      <c r="K557" s="94" t="n"/>
      <c r="L557" s="94" t="n"/>
    </row>
    <row r="558" ht="13.5" customHeight="1">
      <c r="A558" s="94" t="n"/>
      <c r="B558" s="94" t="n"/>
      <c r="C558" s="94" t="n"/>
      <c r="D558" s="94" t="n"/>
      <c r="E558" s="282" t="n"/>
      <c r="F558" s="282" t="n"/>
      <c r="G558" s="94" t="n"/>
      <c r="H558" s="94" t="n"/>
      <c r="I558" s="94" t="n"/>
      <c r="J558" s="94" t="n"/>
      <c r="K558" s="94" t="n"/>
      <c r="L558" s="94" t="n"/>
    </row>
    <row r="559" ht="13.5" customHeight="1">
      <c r="A559" s="94" t="n"/>
      <c r="B559" s="94" t="n"/>
      <c r="C559" s="94" t="n"/>
      <c r="D559" s="94" t="n"/>
      <c r="E559" s="282" t="n"/>
      <c r="F559" s="282" t="n"/>
      <c r="G559" s="94" t="n"/>
      <c r="H559" s="94" t="n"/>
      <c r="I559" s="94" t="n"/>
      <c r="J559" s="94" t="n"/>
      <c r="K559" s="94" t="n"/>
      <c r="L559" s="94" t="n"/>
    </row>
    <row r="560" ht="13.5" customHeight="1">
      <c r="A560" s="94" t="n"/>
      <c r="B560" s="94" t="n"/>
      <c r="C560" s="94" t="n"/>
      <c r="D560" s="94" t="n"/>
      <c r="E560" s="282" t="n"/>
      <c r="F560" s="282" t="n"/>
      <c r="G560" s="94" t="n"/>
      <c r="H560" s="94" t="n"/>
      <c r="I560" s="94" t="n"/>
      <c r="J560" s="94" t="n"/>
      <c r="K560" s="94" t="n"/>
      <c r="L560" s="94" t="n"/>
    </row>
    <row r="561" ht="13.5" customHeight="1">
      <c r="A561" s="94" t="n"/>
      <c r="B561" s="94" t="n"/>
      <c r="C561" s="94" t="n"/>
      <c r="D561" s="94" t="n"/>
      <c r="E561" s="282" t="n"/>
      <c r="F561" s="282" t="n"/>
      <c r="G561" s="94" t="n"/>
      <c r="H561" s="94" t="n"/>
      <c r="I561" s="94" t="n"/>
      <c r="J561" s="94" t="n"/>
      <c r="K561" s="94" t="n"/>
      <c r="L561" s="94" t="n"/>
    </row>
    <row r="562" ht="13.5" customHeight="1">
      <c r="A562" s="94" t="n"/>
      <c r="B562" s="94" t="n"/>
      <c r="C562" s="94" t="n"/>
      <c r="D562" s="94" t="n"/>
      <c r="E562" s="282" t="n"/>
      <c r="F562" s="282" t="n"/>
      <c r="G562" s="94" t="n"/>
      <c r="H562" s="94" t="n"/>
      <c r="I562" s="94" t="n"/>
      <c r="J562" s="94" t="n"/>
      <c r="K562" s="94" t="n"/>
      <c r="L562" s="94" t="n"/>
    </row>
    <row r="563" ht="13.5" customHeight="1">
      <c r="A563" s="94" t="n"/>
      <c r="B563" s="94" t="n"/>
      <c r="C563" s="94" t="n"/>
      <c r="D563" s="94" t="n"/>
      <c r="E563" s="282" t="n"/>
      <c r="F563" s="282" t="n"/>
      <c r="G563" s="94" t="n"/>
      <c r="H563" s="94" t="n"/>
      <c r="I563" s="94" t="n"/>
      <c r="J563" s="94" t="n"/>
      <c r="K563" s="94" t="n"/>
      <c r="L563" s="94" t="n"/>
    </row>
    <row r="564" ht="13.5" customHeight="1">
      <c r="A564" s="94" t="n"/>
      <c r="B564" s="94" t="n"/>
      <c r="C564" s="94" t="n"/>
      <c r="D564" s="94" t="n"/>
      <c r="E564" s="282" t="n"/>
      <c r="F564" s="282" t="n"/>
      <c r="G564" s="94" t="n"/>
      <c r="H564" s="94" t="n"/>
      <c r="I564" s="94" t="n"/>
      <c r="J564" s="94" t="n"/>
      <c r="K564" s="94" t="n"/>
      <c r="L564" s="94" t="n"/>
    </row>
    <row r="565" ht="13.5" customHeight="1">
      <c r="A565" s="94" t="n"/>
      <c r="B565" s="94" t="n"/>
      <c r="C565" s="94" t="n"/>
      <c r="D565" s="94" t="n"/>
      <c r="E565" s="282" t="n"/>
      <c r="F565" s="282" t="n"/>
      <c r="G565" s="94" t="n"/>
      <c r="H565" s="94" t="n"/>
      <c r="I565" s="94" t="n"/>
      <c r="J565" s="94" t="n"/>
      <c r="K565" s="94" t="n"/>
      <c r="L565" s="94" t="n"/>
    </row>
    <row r="566" ht="13.5" customHeight="1">
      <c r="A566" s="94" t="n"/>
      <c r="B566" s="94" t="n"/>
      <c r="C566" s="94" t="n"/>
      <c r="D566" s="94" t="n"/>
      <c r="E566" s="282" t="n"/>
      <c r="F566" s="282" t="n"/>
      <c r="G566" s="94" t="n"/>
      <c r="H566" s="94" t="n"/>
      <c r="I566" s="94" t="n"/>
      <c r="J566" s="94" t="n"/>
      <c r="K566" s="94" t="n"/>
      <c r="L566" s="94" t="n"/>
    </row>
    <row r="567" ht="13.5" customHeight="1">
      <c r="A567" s="94" t="n"/>
      <c r="B567" s="94" t="n"/>
      <c r="C567" s="94" t="n"/>
      <c r="D567" s="94" t="n"/>
      <c r="E567" s="282" t="n"/>
      <c r="F567" s="282" t="n"/>
      <c r="G567" s="94" t="n"/>
      <c r="H567" s="94" t="n"/>
      <c r="I567" s="94" t="n"/>
      <c r="J567" s="94" t="n"/>
      <c r="K567" s="94" t="n"/>
      <c r="L567" s="94" t="n"/>
    </row>
    <row r="568" ht="13.5" customHeight="1">
      <c r="A568" s="94" t="n"/>
      <c r="B568" s="94" t="n"/>
      <c r="C568" s="94" t="n"/>
      <c r="D568" s="94" t="n"/>
      <c r="E568" s="282" t="n"/>
      <c r="F568" s="282" t="n"/>
      <c r="G568" s="94" t="n"/>
      <c r="H568" s="94" t="n"/>
      <c r="I568" s="94" t="n"/>
      <c r="J568" s="94" t="n"/>
      <c r="K568" s="94" t="n"/>
      <c r="L568" s="94" t="n"/>
    </row>
    <row r="569" ht="13.5" customHeight="1">
      <c r="A569" s="94" t="n"/>
      <c r="B569" s="94" t="n"/>
      <c r="C569" s="94" t="n"/>
      <c r="D569" s="94" t="n"/>
      <c r="E569" s="282" t="n"/>
      <c r="F569" s="282" t="n"/>
      <c r="G569" s="94" t="n"/>
      <c r="H569" s="94" t="n"/>
      <c r="I569" s="94" t="n"/>
      <c r="J569" s="94" t="n"/>
      <c r="K569" s="94" t="n"/>
      <c r="L569" s="94" t="n"/>
    </row>
    <row r="570" ht="13.5" customHeight="1">
      <c r="A570" s="94" t="n"/>
      <c r="B570" s="94" t="n"/>
      <c r="C570" s="94" t="n"/>
      <c r="D570" s="94" t="n"/>
      <c r="E570" s="282" t="n"/>
      <c r="F570" s="282" t="n"/>
      <c r="G570" s="94" t="n"/>
      <c r="H570" s="94" t="n"/>
      <c r="I570" s="94" t="n"/>
      <c r="J570" s="94" t="n"/>
      <c r="K570" s="94" t="n"/>
      <c r="L570" s="94" t="n"/>
    </row>
    <row r="571" ht="13.5" customHeight="1">
      <c r="A571" s="94" t="n"/>
      <c r="B571" s="94" t="n"/>
      <c r="C571" s="94" t="n"/>
      <c r="D571" s="94" t="n"/>
      <c r="E571" s="282" t="n"/>
      <c r="F571" s="282" t="n"/>
      <c r="G571" s="94" t="n"/>
      <c r="H571" s="94" t="n"/>
      <c r="I571" s="94" t="n"/>
      <c r="J571" s="94" t="n"/>
      <c r="K571" s="94" t="n"/>
      <c r="L571" s="94" t="n"/>
    </row>
    <row r="572" ht="13.5" customHeight="1">
      <c r="A572" s="94" t="n"/>
      <c r="B572" s="94" t="n"/>
      <c r="C572" s="94" t="n"/>
      <c r="D572" s="94" t="n"/>
      <c r="E572" s="282" t="n"/>
      <c r="F572" s="282" t="n"/>
      <c r="G572" s="94" t="n"/>
      <c r="H572" s="94" t="n"/>
      <c r="I572" s="94" t="n"/>
      <c r="J572" s="94" t="n"/>
      <c r="K572" s="94" t="n"/>
      <c r="L572" s="94" t="n"/>
    </row>
    <row r="573" ht="13.5" customHeight="1">
      <c r="A573" s="94" t="n"/>
      <c r="B573" s="94" t="n"/>
      <c r="C573" s="94" t="n"/>
      <c r="D573" s="94" t="n"/>
      <c r="E573" s="282" t="n"/>
      <c r="F573" s="282" t="n"/>
      <c r="G573" s="94" t="n"/>
      <c r="H573" s="94" t="n"/>
      <c r="I573" s="94" t="n"/>
      <c r="J573" s="94" t="n"/>
      <c r="K573" s="94" t="n"/>
      <c r="L573" s="94" t="n"/>
    </row>
    <row r="574" ht="13.5" customHeight="1">
      <c r="A574" s="94" t="n"/>
      <c r="B574" s="94" t="n"/>
      <c r="C574" s="94" t="n"/>
      <c r="D574" s="94" t="n"/>
      <c r="E574" s="282" t="n"/>
      <c r="F574" s="282" t="n"/>
      <c r="G574" s="94" t="n"/>
      <c r="H574" s="94" t="n"/>
      <c r="I574" s="94" t="n"/>
      <c r="J574" s="94" t="n"/>
      <c r="K574" s="94" t="n"/>
      <c r="L574" s="94" t="n"/>
    </row>
    <row r="575" ht="13.5" customHeight="1">
      <c r="A575" s="94" t="n"/>
      <c r="B575" s="94" t="n"/>
      <c r="C575" s="94" t="n"/>
      <c r="D575" s="94" t="n"/>
      <c r="E575" s="282" t="n"/>
      <c r="F575" s="282" t="n"/>
      <c r="G575" s="94" t="n"/>
      <c r="H575" s="94" t="n"/>
      <c r="I575" s="94" t="n"/>
      <c r="J575" s="94" t="n"/>
      <c r="K575" s="94" t="n"/>
      <c r="L575" s="94" t="n"/>
    </row>
    <row r="576" ht="13.5" customHeight="1">
      <c r="A576" s="94" t="n"/>
      <c r="B576" s="94" t="n"/>
      <c r="C576" s="94" t="n"/>
      <c r="D576" s="94" t="n"/>
      <c r="E576" s="282" t="n"/>
      <c r="F576" s="282" t="n"/>
      <c r="G576" s="94" t="n"/>
      <c r="H576" s="94" t="n"/>
      <c r="I576" s="94" t="n"/>
      <c r="J576" s="94" t="n"/>
      <c r="K576" s="94" t="n"/>
      <c r="L576" s="94" t="n"/>
    </row>
    <row r="577" ht="13.5" customHeight="1">
      <c r="A577" s="94" t="n"/>
      <c r="B577" s="94" t="n"/>
      <c r="C577" s="94" t="n"/>
      <c r="D577" s="94" t="n"/>
      <c r="E577" s="282" t="n"/>
      <c r="F577" s="282" t="n"/>
      <c r="G577" s="94" t="n"/>
      <c r="H577" s="94" t="n"/>
      <c r="I577" s="94" t="n"/>
      <c r="J577" s="94" t="n"/>
      <c r="K577" s="94" t="n"/>
      <c r="L577" s="94" t="n"/>
    </row>
    <row r="578" ht="13.5" customHeight="1">
      <c r="A578" s="94" t="n"/>
      <c r="B578" s="94" t="n"/>
      <c r="C578" s="94" t="n"/>
      <c r="D578" s="94" t="n"/>
      <c r="E578" s="282" t="n"/>
      <c r="F578" s="282" t="n"/>
      <c r="G578" s="94" t="n"/>
      <c r="H578" s="94" t="n"/>
      <c r="I578" s="94" t="n"/>
      <c r="J578" s="94" t="n"/>
      <c r="K578" s="94" t="n"/>
      <c r="L578" s="94" t="n"/>
    </row>
    <row r="579" ht="13.5" customHeight="1">
      <c r="A579" s="94" t="n"/>
      <c r="B579" s="94" t="n"/>
      <c r="C579" s="94" t="n"/>
      <c r="D579" s="94" t="n"/>
      <c r="E579" s="282" t="n"/>
      <c r="F579" s="282" t="n"/>
      <c r="G579" s="94" t="n"/>
      <c r="H579" s="94" t="n"/>
      <c r="I579" s="94" t="n"/>
      <c r="J579" s="94" t="n"/>
      <c r="K579" s="94" t="n"/>
      <c r="L579" s="94" t="n"/>
    </row>
    <row r="580" ht="13.5" customHeight="1">
      <c r="A580" s="94" t="n"/>
      <c r="B580" s="94" t="n"/>
      <c r="C580" s="94" t="n"/>
      <c r="D580" s="94" t="n"/>
      <c r="E580" s="282" t="n"/>
      <c r="F580" s="282" t="n"/>
      <c r="G580" s="94" t="n"/>
      <c r="H580" s="94" t="n"/>
      <c r="I580" s="94" t="n"/>
      <c r="J580" s="94" t="n"/>
      <c r="K580" s="94" t="n"/>
      <c r="L580" s="94" t="n"/>
    </row>
    <row r="581" ht="13.5" customHeight="1">
      <c r="A581" s="94" t="n"/>
      <c r="B581" s="94" t="n"/>
      <c r="C581" s="94" t="n"/>
      <c r="D581" s="94" t="n"/>
      <c r="E581" s="282" t="n"/>
      <c r="F581" s="282" t="n"/>
      <c r="G581" s="94" t="n"/>
      <c r="H581" s="94" t="n"/>
      <c r="I581" s="94" t="n"/>
      <c r="J581" s="94" t="n"/>
      <c r="K581" s="94" t="n"/>
      <c r="L581" s="94" t="n"/>
    </row>
    <row r="582" ht="13.5" customHeight="1">
      <c r="A582" s="94" t="n"/>
      <c r="B582" s="94" t="n"/>
      <c r="C582" s="94" t="n"/>
      <c r="D582" s="94" t="n"/>
      <c r="E582" s="282" t="n"/>
      <c r="F582" s="282" t="n"/>
      <c r="G582" s="94" t="n"/>
      <c r="H582" s="94" t="n"/>
      <c r="I582" s="94" t="n"/>
      <c r="J582" s="94" t="n"/>
      <c r="K582" s="94" t="n"/>
      <c r="L582" s="94" t="n"/>
    </row>
    <row r="583" ht="13.5" customHeight="1">
      <c r="A583" s="94" t="n"/>
      <c r="B583" s="94" t="n"/>
      <c r="C583" s="94" t="n"/>
      <c r="D583" s="94" t="n"/>
      <c r="E583" s="282" t="n"/>
      <c r="F583" s="282" t="n"/>
      <c r="G583" s="94" t="n"/>
      <c r="H583" s="94" t="n"/>
      <c r="I583" s="94" t="n"/>
      <c r="J583" s="94" t="n"/>
      <c r="K583" s="94" t="n"/>
      <c r="L583" s="94" t="n"/>
    </row>
    <row r="584" ht="13.5" customHeight="1">
      <c r="A584" s="94" t="n"/>
      <c r="B584" s="94" t="n"/>
      <c r="C584" s="94" t="n"/>
      <c r="D584" s="94" t="n"/>
      <c r="E584" s="282" t="n"/>
      <c r="F584" s="282" t="n"/>
      <c r="G584" s="94" t="n"/>
      <c r="H584" s="94" t="n"/>
      <c r="I584" s="94" t="n"/>
      <c r="J584" s="94" t="n"/>
      <c r="K584" s="94" t="n"/>
      <c r="L584" s="94" t="n"/>
    </row>
    <row r="585" ht="13.5" customHeight="1">
      <c r="A585" s="94" t="n"/>
      <c r="B585" s="94" t="n"/>
      <c r="C585" s="94" t="n"/>
      <c r="D585" s="94" t="n"/>
      <c r="E585" s="282" t="n"/>
      <c r="F585" s="282" t="n"/>
      <c r="G585" s="94" t="n"/>
      <c r="H585" s="94" t="n"/>
      <c r="I585" s="94" t="n"/>
      <c r="J585" s="94" t="n"/>
      <c r="K585" s="94" t="n"/>
      <c r="L585" s="94" t="n"/>
    </row>
    <row r="586" ht="13.5" customHeight="1">
      <c r="A586" s="94" t="n"/>
      <c r="B586" s="94" t="n"/>
      <c r="C586" s="94" t="n"/>
      <c r="D586" s="94" t="n"/>
      <c r="E586" s="282" t="n"/>
      <c r="F586" s="282" t="n"/>
      <c r="G586" s="94" t="n"/>
      <c r="H586" s="94" t="n"/>
      <c r="I586" s="94" t="n"/>
      <c r="J586" s="94" t="n"/>
      <c r="K586" s="94" t="n"/>
      <c r="L586" s="94" t="n"/>
    </row>
    <row r="587" ht="13.5" customHeight="1">
      <c r="A587" s="94" t="n"/>
      <c r="B587" s="94" t="n"/>
      <c r="C587" s="94" t="n"/>
      <c r="D587" s="94" t="n"/>
      <c r="E587" s="282" t="n"/>
      <c r="F587" s="282" t="n"/>
      <c r="G587" s="94" t="n"/>
      <c r="H587" s="94" t="n"/>
      <c r="I587" s="94" t="n"/>
      <c r="J587" s="94" t="n"/>
      <c r="K587" s="94" t="n"/>
      <c r="L587" s="94" t="n"/>
    </row>
    <row r="588" ht="13.5" customHeight="1">
      <c r="A588" s="94" t="n"/>
      <c r="B588" s="94" t="n"/>
      <c r="C588" s="94" t="n"/>
      <c r="D588" s="94" t="n"/>
      <c r="E588" s="282" t="n"/>
      <c r="F588" s="282" t="n"/>
      <c r="G588" s="94" t="n"/>
      <c r="H588" s="94" t="n"/>
      <c r="I588" s="94" t="n"/>
      <c r="J588" s="94" t="n"/>
      <c r="K588" s="94" t="n"/>
      <c r="L588" s="94" t="n"/>
    </row>
    <row r="589" ht="13.5" customHeight="1">
      <c r="A589" s="94" t="n"/>
      <c r="B589" s="94" t="n"/>
      <c r="C589" s="94" t="n"/>
      <c r="D589" s="94" t="n"/>
      <c r="E589" s="282" t="n"/>
      <c r="F589" s="282" t="n"/>
      <c r="G589" s="94" t="n"/>
      <c r="H589" s="94" t="n"/>
      <c r="I589" s="94" t="n"/>
      <c r="J589" s="94" t="n"/>
      <c r="K589" s="94" t="n"/>
      <c r="L589" s="94" t="n"/>
    </row>
    <row r="590" ht="13.5" customHeight="1">
      <c r="A590" s="94" t="n"/>
      <c r="B590" s="94" t="n"/>
      <c r="C590" s="94" t="n"/>
      <c r="D590" s="94" t="n"/>
      <c r="E590" s="282" t="n"/>
      <c r="F590" s="282" t="n"/>
      <c r="G590" s="94" t="n"/>
      <c r="H590" s="94" t="n"/>
      <c r="I590" s="94" t="n"/>
      <c r="J590" s="94" t="n"/>
      <c r="K590" s="94" t="n"/>
      <c r="L590" s="94" t="n"/>
    </row>
    <row r="591" ht="13.5" customHeight="1">
      <c r="A591" s="94" t="n"/>
      <c r="B591" s="94" t="n"/>
      <c r="C591" s="94" t="n"/>
      <c r="D591" s="94" t="n"/>
      <c r="E591" s="282" t="n"/>
      <c r="F591" s="282" t="n"/>
      <c r="G591" s="94" t="n"/>
      <c r="H591" s="94" t="n"/>
      <c r="I591" s="94" t="n"/>
      <c r="J591" s="94" t="n"/>
      <c r="K591" s="94" t="n"/>
      <c r="L591" s="94" t="n"/>
    </row>
    <row r="592" ht="13.5" customHeight="1">
      <c r="A592" s="94" t="n"/>
      <c r="B592" s="94" t="n"/>
      <c r="C592" s="94" t="n"/>
      <c r="D592" s="94" t="n"/>
      <c r="E592" s="282" t="n"/>
      <c r="F592" s="282" t="n"/>
      <c r="G592" s="94" t="n"/>
      <c r="H592" s="94" t="n"/>
      <c r="I592" s="94" t="n"/>
      <c r="J592" s="94" t="n"/>
      <c r="K592" s="94" t="n"/>
      <c r="L592" s="94" t="n"/>
    </row>
    <row r="593" ht="13.5" customHeight="1">
      <c r="A593" s="94" t="n"/>
      <c r="B593" s="94" t="n"/>
      <c r="C593" s="94" t="n"/>
      <c r="D593" s="94" t="n"/>
      <c r="E593" s="282" t="n"/>
      <c r="F593" s="282" t="n"/>
      <c r="G593" s="94" t="n"/>
      <c r="H593" s="94" t="n"/>
      <c r="I593" s="94" t="n"/>
      <c r="J593" s="94" t="n"/>
      <c r="K593" s="94" t="n"/>
      <c r="L593" s="94" t="n"/>
    </row>
    <row r="594" ht="13.5" customHeight="1">
      <c r="A594" s="94" t="n"/>
      <c r="B594" s="94" t="n"/>
      <c r="C594" s="94" t="n"/>
      <c r="D594" s="94" t="n"/>
      <c r="E594" s="282" t="n"/>
      <c r="F594" s="282" t="n"/>
      <c r="G594" s="94" t="n"/>
      <c r="H594" s="94" t="n"/>
      <c r="I594" s="94" t="n"/>
      <c r="J594" s="94" t="n"/>
      <c r="K594" s="94" t="n"/>
      <c r="L594" s="94" t="n"/>
    </row>
    <row r="595" ht="13.5" customHeight="1">
      <c r="A595" s="94" t="n"/>
      <c r="B595" s="94" t="n"/>
      <c r="C595" s="94" t="n"/>
      <c r="D595" s="94" t="n"/>
      <c r="E595" s="282" t="n"/>
      <c r="F595" s="282" t="n"/>
      <c r="G595" s="94" t="n"/>
      <c r="H595" s="94" t="n"/>
      <c r="I595" s="94" t="n"/>
      <c r="J595" s="94" t="n"/>
      <c r="K595" s="94" t="n"/>
      <c r="L595" s="94" t="n"/>
    </row>
    <row r="596" ht="13.5" customHeight="1">
      <c r="A596" s="94" t="n"/>
      <c r="B596" s="94" t="n"/>
      <c r="C596" s="94" t="n"/>
      <c r="D596" s="94" t="n"/>
      <c r="E596" s="282" t="n"/>
      <c r="F596" s="282" t="n"/>
      <c r="G596" s="94" t="n"/>
      <c r="H596" s="94" t="n"/>
      <c r="I596" s="94" t="n"/>
      <c r="J596" s="94" t="n"/>
      <c r="K596" s="94" t="n"/>
      <c r="L596" s="94" t="n"/>
    </row>
    <row r="597" ht="13.5" customHeight="1">
      <c r="A597" s="94" t="n"/>
      <c r="B597" s="94" t="n"/>
      <c r="C597" s="94" t="n"/>
      <c r="D597" s="94" t="n"/>
      <c r="E597" s="282" t="n"/>
      <c r="F597" s="282" t="n"/>
      <c r="G597" s="94" t="n"/>
      <c r="H597" s="94" t="n"/>
      <c r="I597" s="94" t="n"/>
      <c r="J597" s="94" t="n"/>
      <c r="K597" s="94" t="n"/>
      <c r="L597" s="94" t="n"/>
    </row>
    <row r="598" ht="13.5" customHeight="1">
      <c r="A598" s="94" t="n"/>
      <c r="B598" s="94" t="n"/>
      <c r="C598" s="94" t="n"/>
      <c r="D598" s="94" t="n"/>
      <c r="E598" s="282" t="n"/>
      <c r="F598" s="282" t="n"/>
      <c r="G598" s="94" t="n"/>
      <c r="H598" s="94" t="n"/>
      <c r="I598" s="94" t="n"/>
      <c r="J598" s="94" t="n"/>
      <c r="K598" s="94" t="n"/>
      <c r="L598" s="94" t="n"/>
    </row>
    <row r="599" ht="13.5" customHeight="1">
      <c r="A599" s="94" t="n"/>
      <c r="B599" s="94" t="n"/>
      <c r="C599" s="94" t="n"/>
      <c r="D599" s="94" t="n"/>
      <c r="E599" s="282" t="n"/>
      <c r="F599" s="282" t="n"/>
      <c r="G599" s="94" t="n"/>
      <c r="H599" s="94" t="n"/>
      <c r="I599" s="94" t="n"/>
      <c r="J599" s="94" t="n"/>
      <c r="K599" s="94" t="n"/>
      <c r="L599" s="94" t="n"/>
    </row>
    <row r="600" ht="13.5" customHeight="1">
      <c r="A600" s="94" t="n"/>
      <c r="B600" s="94" t="n"/>
      <c r="C600" s="94" t="n"/>
      <c r="D600" s="94" t="n"/>
      <c r="E600" s="282" t="n"/>
      <c r="F600" s="282" t="n"/>
      <c r="G600" s="94" t="n"/>
      <c r="H600" s="94" t="n"/>
      <c r="I600" s="94" t="n"/>
      <c r="J600" s="94" t="n"/>
      <c r="K600" s="94" t="n"/>
      <c r="L600" s="94" t="n"/>
    </row>
    <row r="601" ht="13.5" customHeight="1">
      <c r="A601" s="94" t="n"/>
      <c r="B601" s="94" t="n"/>
      <c r="C601" s="94" t="n"/>
      <c r="D601" s="94" t="n"/>
      <c r="E601" s="282" t="n"/>
      <c r="F601" s="282" t="n"/>
      <c r="G601" s="94" t="n"/>
      <c r="H601" s="94" t="n"/>
      <c r="I601" s="94" t="n"/>
      <c r="J601" s="94" t="n"/>
      <c r="K601" s="94" t="n"/>
      <c r="L601" s="94" t="n"/>
    </row>
    <row r="602" ht="13.5" customHeight="1">
      <c r="A602" s="94" t="n"/>
      <c r="B602" s="94" t="n"/>
      <c r="C602" s="94" t="n"/>
      <c r="D602" s="94" t="n"/>
      <c r="E602" s="282" t="n"/>
      <c r="F602" s="282" t="n"/>
      <c r="G602" s="94" t="n"/>
      <c r="H602" s="94" t="n"/>
      <c r="I602" s="94" t="n"/>
      <c r="J602" s="94" t="n"/>
      <c r="K602" s="94" t="n"/>
      <c r="L602" s="94" t="n"/>
    </row>
    <row r="603" ht="13.5" customHeight="1">
      <c r="A603" s="94" t="n"/>
      <c r="B603" s="94" t="n"/>
      <c r="C603" s="94" t="n"/>
      <c r="D603" s="94" t="n"/>
      <c r="E603" s="282" t="n"/>
      <c r="F603" s="282" t="n"/>
      <c r="G603" s="94" t="n"/>
      <c r="H603" s="94" t="n"/>
      <c r="I603" s="94" t="n"/>
      <c r="J603" s="94" t="n"/>
      <c r="K603" s="94" t="n"/>
      <c r="L603" s="94" t="n"/>
    </row>
    <row r="604" ht="13.5" customHeight="1">
      <c r="A604" s="94" t="n"/>
      <c r="B604" s="94" t="n"/>
      <c r="C604" s="94" t="n"/>
      <c r="D604" s="94" t="n"/>
      <c r="E604" s="282" t="n"/>
      <c r="F604" s="282" t="n"/>
      <c r="G604" s="94" t="n"/>
      <c r="H604" s="94" t="n"/>
      <c r="I604" s="94" t="n"/>
      <c r="J604" s="94" t="n"/>
      <c r="K604" s="94" t="n"/>
      <c r="L604" s="94" t="n"/>
    </row>
    <row r="605" ht="13.5" customHeight="1">
      <c r="A605" s="94" t="n"/>
      <c r="B605" s="94" t="n"/>
      <c r="C605" s="94" t="n"/>
      <c r="D605" s="94" t="n"/>
      <c r="E605" s="282" t="n"/>
      <c r="F605" s="282" t="n"/>
      <c r="G605" s="94" t="n"/>
      <c r="H605" s="94" t="n"/>
      <c r="I605" s="94" t="n"/>
      <c r="J605" s="94" t="n"/>
      <c r="K605" s="94" t="n"/>
      <c r="L605" s="94" t="n"/>
    </row>
    <row r="606" ht="13.5" customHeight="1">
      <c r="A606" s="94" t="n"/>
      <c r="B606" s="94" t="n"/>
      <c r="C606" s="94" t="n"/>
      <c r="D606" s="94" t="n"/>
      <c r="E606" s="282" t="n"/>
      <c r="F606" s="282" t="n"/>
      <c r="G606" s="94" t="n"/>
      <c r="H606" s="94" t="n"/>
      <c r="I606" s="94" t="n"/>
      <c r="J606" s="94" t="n"/>
      <c r="K606" s="94" t="n"/>
      <c r="L606" s="94" t="n"/>
    </row>
    <row r="607" ht="13.5" customHeight="1">
      <c r="A607" s="94" t="n"/>
      <c r="B607" s="94" t="n"/>
      <c r="C607" s="94" t="n"/>
      <c r="D607" s="94" t="n"/>
      <c r="E607" s="282" t="n"/>
      <c r="F607" s="282" t="n"/>
      <c r="G607" s="94" t="n"/>
      <c r="H607" s="94" t="n"/>
      <c r="I607" s="94" t="n"/>
      <c r="J607" s="94" t="n"/>
      <c r="K607" s="94" t="n"/>
      <c r="L607" s="94" t="n"/>
    </row>
    <row r="608" ht="13.5" customHeight="1">
      <c r="A608" s="94" t="n"/>
      <c r="B608" s="94" t="n"/>
      <c r="C608" s="94" t="n"/>
      <c r="D608" s="94" t="n"/>
      <c r="E608" s="282" t="n"/>
      <c r="F608" s="282" t="n"/>
      <c r="G608" s="94" t="n"/>
      <c r="H608" s="94" t="n"/>
      <c r="I608" s="94" t="n"/>
      <c r="J608" s="94" t="n"/>
      <c r="K608" s="94" t="n"/>
      <c r="L608" s="94" t="n"/>
    </row>
    <row r="609" ht="13.5" customHeight="1">
      <c r="A609" s="94" t="n"/>
      <c r="B609" s="94" t="n"/>
      <c r="C609" s="94" t="n"/>
      <c r="D609" s="94" t="n"/>
      <c r="E609" s="282" t="n"/>
      <c r="F609" s="282" t="n"/>
      <c r="G609" s="94" t="n"/>
      <c r="H609" s="94" t="n"/>
      <c r="I609" s="94" t="n"/>
      <c r="J609" s="94" t="n"/>
      <c r="K609" s="94" t="n"/>
      <c r="L609" s="94" t="n"/>
    </row>
    <row r="610" ht="13.5" customHeight="1">
      <c r="A610" s="94" t="n"/>
      <c r="B610" s="94" t="n"/>
      <c r="C610" s="94" t="n"/>
      <c r="D610" s="94" t="n"/>
      <c r="E610" s="282" t="n"/>
      <c r="F610" s="282" t="n"/>
      <c r="G610" s="94" t="n"/>
      <c r="H610" s="94" t="n"/>
      <c r="I610" s="94" t="n"/>
      <c r="J610" s="94" t="n"/>
      <c r="K610" s="94" t="n"/>
      <c r="L610" s="94" t="n"/>
    </row>
    <row r="611" ht="13.5" customHeight="1">
      <c r="A611" s="94" t="n"/>
      <c r="B611" s="94" t="n"/>
      <c r="C611" s="94" t="n"/>
      <c r="D611" s="94" t="n"/>
      <c r="E611" s="282" t="n"/>
      <c r="F611" s="282" t="n"/>
      <c r="G611" s="94" t="n"/>
      <c r="H611" s="94" t="n"/>
      <c r="I611" s="94" t="n"/>
      <c r="J611" s="94" t="n"/>
      <c r="K611" s="94" t="n"/>
      <c r="L611" s="94" t="n"/>
    </row>
    <row r="612" ht="13.5" customHeight="1">
      <c r="A612" s="94" t="n"/>
      <c r="B612" s="94" t="n"/>
      <c r="C612" s="94" t="n"/>
      <c r="D612" s="94" t="n"/>
      <c r="E612" s="282" t="n"/>
      <c r="F612" s="282" t="n"/>
      <c r="G612" s="94" t="n"/>
      <c r="H612" s="94" t="n"/>
      <c r="I612" s="94" t="n"/>
      <c r="J612" s="94" t="n"/>
      <c r="K612" s="94" t="n"/>
      <c r="L612" s="94" t="n"/>
    </row>
    <row r="613" ht="13.5" customHeight="1">
      <c r="A613" s="94" t="n"/>
      <c r="B613" s="94" t="n"/>
      <c r="C613" s="94" t="n"/>
      <c r="D613" s="94" t="n"/>
      <c r="E613" s="282" t="n"/>
      <c r="F613" s="282" t="n"/>
      <c r="G613" s="94" t="n"/>
      <c r="H613" s="94" t="n"/>
      <c r="I613" s="94" t="n"/>
      <c r="J613" s="94" t="n"/>
      <c r="K613" s="94" t="n"/>
      <c r="L613" s="94" t="n"/>
    </row>
    <row r="614" ht="13.5" customHeight="1">
      <c r="A614" s="94" t="n"/>
      <c r="B614" s="94" t="n"/>
      <c r="C614" s="94" t="n"/>
      <c r="D614" s="94" t="n"/>
      <c r="E614" s="282" t="n"/>
      <c r="F614" s="282" t="n"/>
      <c r="G614" s="94" t="n"/>
      <c r="H614" s="94" t="n"/>
      <c r="I614" s="94" t="n"/>
      <c r="J614" s="94" t="n"/>
      <c r="K614" s="94" t="n"/>
      <c r="L614" s="94" t="n"/>
    </row>
    <row r="615" ht="13.5" customHeight="1">
      <c r="A615" s="94" t="n"/>
      <c r="B615" s="94" t="n"/>
      <c r="C615" s="94" t="n"/>
      <c r="D615" s="94" t="n"/>
      <c r="E615" s="282" t="n"/>
      <c r="F615" s="282" t="n"/>
      <c r="G615" s="94" t="n"/>
      <c r="H615" s="94" t="n"/>
      <c r="I615" s="94" t="n"/>
      <c r="J615" s="94" t="n"/>
      <c r="K615" s="94" t="n"/>
      <c r="L615" s="94" t="n"/>
    </row>
    <row r="616" ht="13.5" customHeight="1">
      <c r="A616" s="94" t="n"/>
      <c r="B616" s="94" t="n"/>
      <c r="C616" s="94" t="n"/>
      <c r="D616" s="94" t="n"/>
      <c r="E616" s="282" t="n"/>
      <c r="F616" s="282" t="n"/>
      <c r="G616" s="94" t="n"/>
      <c r="H616" s="94" t="n"/>
      <c r="I616" s="94" t="n"/>
      <c r="J616" s="94" t="n"/>
      <c r="K616" s="94" t="n"/>
      <c r="L616" s="94" t="n"/>
    </row>
    <row r="617" ht="13.5" customHeight="1">
      <c r="A617" s="94" t="n"/>
      <c r="B617" s="94" t="n"/>
      <c r="C617" s="94" t="n"/>
      <c r="D617" s="94" t="n"/>
      <c r="E617" s="282" t="n"/>
      <c r="F617" s="282" t="n"/>
      <c r="G617" s="94" t="n"/>
      <c r="H617" s="94" t="n"/>
      <c r="I617" s="94" t="n"/>
      <c r="J617" s="94" t="n"/>
      <c r="K617" s="94" t="n"/>
      <c r="L617" s="94" t="n"/>
    </row>
    <row r="618" ht="13.5" customHeight="1">
      <c r="A618" s="94" t="n"/>
      <c r="B618" s="94" t="n"/>
      <c r="C618" s="94" t="n"/>
      <c r="D618" s="94" t="n"/>
      <c r="E618" s="282" t="n"/>
      <c r="F618" s="282" t="n"/>
      <c r="G618" s="94" t="n"/>
      <c r="H618" s="94" t="n"/>
      <c r="I618" s="94" t="n"/>
      <c r="J618" s="94" t="n"/>
      <c r="K618" s="94" t="n"/>
      <c r="L618" s="94" t="n"/>
    </row>
    <row r="619" ht="13.5" customHeight="1">
      <c r="A619" s="94" t="n"/>
      <c r="B619" s="94" t="n"/>
      <c r="C619" s="94" t="n"/>
      <c r="D619" s="94" t="n"/>
      <c r="E619" s="282" t="n"/>
      <c r="F619" s="282" t="n"/>
      <c r="G619" s="94" t="n"/>
      <c r="H619" s="94" t="n"/>
      <c r="I619" s="94" t="n"/>
      <c r="J619" s="94" t="n"/>
      <c r="K619" s="94" t="n"/>
      <c r="L619" s="94" t="n"/>
    </row>
    <row r="620" ht="13.5" customHeight="1">
      <c r="A620" s="94" t="n"/>
      <c r="B620" s="94" t="n"/>
      <c r="C620" s="94" t="n"/>
      <c r="D620" s="94" t="n"/>
      <c r="E620" s="282" t="n"/>
      <c r="F620" s="282" t="n"/>
      <c r="G620" s="94" t="n"/>
      <c r="H620" s="94" t="n"/>
      <c r="I620" s="94" t="n"/>
      <c r="J620" s="94" t="n"/>
      <c r="K620" s="94" t="n"/>
      <c r="L620" s="94" t="n"/>
    </row>
    <row r="621" ht="13.5" customHeight="1">
      <c r="A621" s="94" t="n"/>
      <c r="B621" s="94" t="n"/>
      <c r="C621" s="94" t="n"/>
      <c r="D621" s="94" t="n"/>
      <c r="E621" s="282" t="n"/>
      <c r="F621" s="282" t="n"/>
      <c r="G621" s="94" t="n"/>
      <c r="H621" s="94" t="n"/>
      <c r="I621" s="94" t="n"/>
      <c r="J621" s="94" t="n"/>
      <c r="K621" s="94" t="n"/>
      <c r="L621" s="94" t="n"/>
    </row>
    <row r="622" ht="13.5" customHeight="1">
      <c r="A622" s="94" t="n"/>
      <c r="B622" s="94" t="n"/>
      <c r="C622" s="94" t="n"/>
      <c r="D622" s="94" t="n"/>
      <c r="E622" s="282" t="n"/>
      <c r="F622" s="282" t="n"/>
      <c r="G622" s="94" t="n"/>
      <c r="H622" s="94" t="n"/>
      <c r="I622" s="94" t="n"/>
      <c r="J622" s="94" t="n"/>
      <c r="K622" s="94" t="n"/>
      <c r="L622" s="94" t="n"/>
    </row>
    <row r="623" ht="13.5" customHeight="1">
      <c r="A623" s="94" t="n"/>
      <c r="B623" s="94" t="n"/>
      <c r="C623" s="94" t="n"/>
      <c r="D623" s="94" t="n"/>
      <c r="E623" s="282" t="n"/>
      <c r="F623" s="282" t="n"/>
      <c r="G623" s="94" t="n"/>
      <c r="H623" s="94" t="n"/>
      <c r="I623" s="94" t="n"/>
      <c r="J623" s="94" t="n"/>
      <c r="K623" s="94" t="n"/>
      <c r="L623" s="94" t="n"/>
    </row>
    <row r="624" ht="13.5" customHeight="1">
      <c r="A624" s="94" t="n"/>
      <c r="B624" s="94" t="n"/>
      <c r="C624" s="94" t="n"/>
      <c r="D624" s="94" t="n"/>
      <c r="E624" s="282" t="n"/>
      <c r="F624" s="282" t="n"/>
      <c r="G624" s="94" t="n"/>
      <c r="H624" s="94" t="n"/>
      <c r="I624" s="94" t="n"/>
      <c r="J624" s="94" t="n"/>
      <c r="K624" s="94" t="n"/>
      <c r="L624" s="94" t="n"/>
    </row>
    <row r="625" ht="13.5" customHeight="1">
      <c r="A625" s="94" t="n"/>
      <c r="B625" s="94" t="n"/>
      <c r="C625" s="94" t="n"/>
      <c r="D625" s="94" t="n"/>
      <c r="E625" s="282" t="n"/>
      <c r="F625" s="282" t="n"/>
      <c r="G625" s="94" t="n"/>
      <c r="H625" s="94" t="n"/>
      <c r="I625" s="94" t="n"/>
      <c r="J625" s="94" t="n"/>
      <c r="K625" s="94" t="n"/>
      <c r="L625" s="94" t="n"/>
    </row>
    <row r="626" ht="13.5" customHeight="1">
      <c r="A626" s="94" t="n"/>
      <c r="B626" s="94" t="n"/>
      <c r="C626" s="94" t="n"/>
      <c r="D626" s="94" t="n"/>
      <c r="E626" s="282" t="n"/>
      <c r="F626" s="282" t="n"/>
      <c r="G626" s="94" t="n"/>
      <c r="H626" s="94" t="n"/>
      <c r="I626" s="94" t="n"/>
      <c r="J626" s="94" t="n"/>
      <c r="K626" s="94" t="n"/>
      <c r="L626" s="94" t="n"/>
    </row>
    <row r="627" ht="13.5" customHeight="1">
      <c r="A627" s="94" t="n"/>
      <c r="B627" s="94" t="n"/>
      <c r="C627" s="94" t="n"/>
      <c r="D627" s="94" t="n"/>
      <c r="E627" s="282" t="n"/>
      <c r="F627" s="282" t="n"/>
      <c r="G627" s="94" t="n"/>
      <c r="H627" s="94" t="n"/>
      <c r="I627" s="94" t="n"/>
      <c r="J627" s="94" t="n"/>
      <c r="K627" s="94" t="n"/>
      <c r="L627" s="94" t="n"/>
    </row>
    <row r="628" ht="13.5" customHeight="1">
      <c r="A628" s="94" t="n"/>
      <c r="B628" s="94" t="n"/>
      <c r="C628" s="94" t="n"/>
      <c r="D628" s="94" t="n"/>
      <c r="E628" s="282" t="n"/>
      <c r="F628" s="282" t="n"/>
      <c r="G628" s="94" t="n"/>
      <c r="H628" s="94" t="n"/>
      <c r="I628" s="94" t="n"/>
      <c r="J628" s="94" t="n"/>
      <c r="K628" s="94" t="n"/>
      <c r="L628" s="94" t="n"/>
    </row>
    <row r="629" ht="13.5" customHeight="1">
      <c r="A629" s="94" t="n"/>
      <c r="B629" s="94" t="n"/>
      <c r="C629" s="94" t="n"/>
      <c r="D629" s="94" t="n"/>
      <c r="E629" s="282" t="n"/>
      <c r="F629" s="282" t="n"/>
      <c r="G629" s="94" t="n"/>
      <c r="H629" s="94" t="n"/>
      <c r="I629" s="94" t="n"/>
      <c r="J629" s="94" t="n"/>
      <c r="K629" s="94" t="n"/>
      <c r="L629" s="94" t="n"/>
    </row>
    <row r="630" ht="13.5" customHeight="1">
      <c r="A630" s="94" t="n"/>
      <c r="B630" s="94" t="n"/>
      <c r="C630" s="94" t="n"/>
      <c r="D630" s="94" t="n"/>
      <c r="E630" s="282" t="n"/>
      <c r="F630" s="282" t="n"/>
      <c r="G630" s="94" t="n"/>
      <c r="H630" s="94" t="n"/>
      <c r="I630" s="94" t="n"/>
      <c r="J630" s="94" t="n"/>
      <c r="K630" s="94" t="n"/>
      <c r="L630" s="94" t="n"/>
    </row>
    <row r="631" ht="13.5" customHeight="1">
      <c r="A631" s="94" t="n"/>
      <c r="B631" s="94" t="n"/>
      <c r="C631" s="94" t="n"/>
      <c r="D631" s="94" t="n"/>
      <c r="E631" s="282" t="n"/>
      <c r="F631" s="282" t="n"/>
      <c r="G631" s="94" t="n"/>
      <c r="H631" s="94" t="n"/>
      <c r="I631" s="94" t="n"/>
      <c r="J631" s="94" t="n"/>
      <c r="K631" s="94" t="n"/>
      <c r="L631" s="94" t="n"/>
    </row>
    <row r="632" ht="13.5" customHeight="1">
      <c r="A632" s="94" t="n"/>
      <c r="B632" s="94" t="n"/>
      <c r="C632" s="94" t="n"/>
      <c r="D632" s="94" t="n"/>
      <c r="E632" s="282" t="n"/>
      <c r="F632" s="282" t="n"/>
      <c r="G632" s="94" t="n"/>
      <c r="H632" s="94" t="n"/>
      <c r="I632" s="94" t="n"/>
      <c r="J632" s="94" t="n"/>
      <c r="K632" s="94" t="n"/>
      <c r="L632" s="94" t="n"/>
    </row>
    <row r="633" ht="13.5" customHeight="1">
      <c r="A633" s="94" t="n"/>
      <c r="B633" s="94" t="n"/>
      <c r="C633" s="94" t="n"/>
      <c r="D633" s="94" t="n"/>
      <c r="E633" s="282" t="n"/>
      <c r="F633" s="282" t="n"/>
      <c r="G633" s="94" t="n"/>
      <c r="H633" s="94" t="n"/>
      <c r="I633" s="94" t="n"/>
      <c r="J633" s="94" t="n"/>
      <c r="K633" s="94" t="n"/>
      <c r="L633" s="94" t="n"/>
    </row>
    <row r="634" ht="13.5" customHeight="1">
      <c r="A634" s="94" t="n"/>
      <c r="B634" s="94" t="n"/>
      <c r="C634" s="94" t="n"/>
      <c r="D634" s="94" t="n"/>
      <c r="E634" s="282" t="n"/>
      <c r="F634" s="282" t="n"/>
      <c r="G634" s="94" t="n"/>
      <c r="H634" s="94" t="n"/>
      <c r="I634" s="94" t="n"/>
      <c r="J634" s="94" t="n"/>
      <c r="K634" s="94" t="n"/>
      <c r="L634" s="94" t="n"/>
    </row>
    <row r="635" ht="13.5" customHeight="1">
      <c r="A635" s="94" t="n"/>
      <c r="B635" s="94" t="n"/>
      <c r="C635" s="94" t="n"/>
      <c r="D635" s="94" t="n"/>
      <c r="E635" s="282" t="n"/>
      <c r="F635" s="282" t="n"/>
      <c r="G635" s="94" t="n"/>
      <c r="H635" s="94" t="n"/>
      <c r="I635" s="94" t="n"/>
      <c r="J635" s="94" t="n"/>
      <c r="K635" s="94" t="n"/>
      <c r="L635" s="94" t="n"/>
    </row>
    <row r="636" ht="13.5" customHeight="1">
      <c r="A636" s="94" t="n"/>
      <c r="B636" s="94" t="n"/>
      <c r="C636" s="94" t="n"/>
      <c r="D636" s="94" t="n"/>
      <c r="E636" s="282" t="n"/>
      <c r="F636" s="282" t="n"/>
      <c r="G636" s="94" t="n"/>
      <c r="H636" s="94" t="n"/>
      <c r="I636" s="94" t="n"/>
      <c r="J636" s="94" t="n"/>
      <c r="K636" s="94" t="n"/>
      <c r="L636" s="94" t="n"/>
    </row>
    <row r="637" ht="13.5" customHeight="1">
      <c r="A637" s="94" t="n"/>
      <c r="B637" s="94" t="n"/>
      <c r="C637" s="94" t="n"/>
      <c r="D637" s="94" t="n"/>
      <c r="E637" s="282" t="n"/>
      <c r="F637" s="282" t="n"/>
      <c r="G637" s="94" t="n"/>
      <c r="H637" s="94" t="n"/>
      <c r="I637" s="94" t="n"/>
      <c r="J637" s="94" t="n"/>
      <c r="K637" s="94" t="n"/>
      <c r="L637" s="94" t="n"/>
    </row>
    <row r="638" ht="13.5" customHeight="1">
      <c r="A638" s="94" t="n"/>
      <c r="B638" s="94" t="n"/>
      <c r="C638" s="94" t="n"/>
      <c r="D638" s="94" t="n"/>
      <c r="E638" s="282" t="n"/>
      <c r="F638" s="282" t="n"/>
      <c r="G638" s="94" t="n"/>
      <c r="H638" s="94" t="n"/>
      <c r="I638" s="94" t="n"/>
      <c r="J638" s="94" t="n"/>
      <c r="K638" s="94" t="n"/>
      <c r="L638" s="94" t="n"/>
    </row>
    <row r="639" ht="13.5" customHeight="1">
      <c r="A639" s="94" t="n"/>
      <c r="B639" s="94" t="n"/>
      <c r="C639" s="94" t="n"/>
      <c r="D639" s="94" t="n"/>
      <c r="E639" s="282" t="n"/>
      <c r="F639" s="282" t="n"/>
      <c r="G639" s="94" t="n"/>
      <c r="H639" s="94" t="n"/>
      <c r="I639" s="94" t="n"/>
      <c r="J639" s="94" t="n"/>
      <c r="K639" s="94" t="n"/>
      <c r="L639" s="94" t="n"/>
    </row>
    <row r="640" ht="13.5" customHeight="1">
      <c r="A640" s="94" t="n"/>
      <c r="B640" s="94" t="n"/>
      <c r="C640" s="94" t="n"/>
      <c r="D640" s="94" t="n"/>
      <c r="E640" s="282" t="n"/>
      <c r="F640" s="282" t="n"/>
      <c r="G640" s="94" t="n"/>
      <c r="H640" s="94" t="n"/>
      <c r="I640" s="94" t="n"/>
      <c r="J640" s="94" t="n"/>
      <c r="K640" s="94" t="n"/>
      <c r="L640" s="94" t="n"/>
    </row>
    <row r="641" ht="13.5" customHeight="1">
      <c r="A641" s="94" t="n"/>
      <c r="B641" s="94" t="n"/>
      <c r="C641" s="94" t="n"/>
      <c r="D641" s="94" t="n"/>
      <c r="E641" s="282" t="n"/>
      <c r="F641" s="282" t="n"/>
      <c r="G641" s="94" t="n"/>
      <c r="H641" s="94" t="n"/>
      <c r="I641" s="94" t="n"/>
      <c r="J641" s="94" t="n"/>
      <c r="K641" s="94" t="n"/>
      <c r="L641" s="94" t="n"/>
    </row>
    <row r="642" ht="13.5" customHeight="1">
      <c r="A642" s="94" t="n"/>
      <c r="B642" s="94" t="n"/>
      <c r="C642" s="94" t="n"/>
      <c r="D642" s="94" t="n"/>
      <c r="E642" s="282" t="n"/>
      <c r="F642" s="282" t="n"/>
      <c r="G642" s="94" t="n"/>
      <c r="H642" s="94" t="n"/>
      <c r="I642" s="94" t="n"/>
      <c r="J642" s="94" t="n"/>
      <c r="K642" s="94" t="n"/>
      <c r="L642" s="94" t="n"/>
    </row>
    <row r="643" ht="13.5" customHeight="1">
      <c r="A643" s="94" t="n"/>
      <c r="B643" s="94" t="n"/>
      <c r="C643" s="94" t="n"/>
      <c r="D643" s="94" t="n"/>
      <c r="E643" s="282" t="n"/>
      <c r="F643" s="282" t="n"/>
      <c r="G643" s="94" t="n"/>
      <c r="H643" s="94" t="n"/>
      <c r="I643" s="94" t="n"/>
      <c r="J643" s="94" t="n"/>
      <c r="K643" s="94" t="n"/>
      <c r="L643" s="94" t="n"/>
    </row>
    <row r="644" ht="13.5" customHeight="1">
      <c r="A644" s="94" t="n"/>
      <c r="B644" s="94" t="n"/>
      <c r="C644" s="94" t="n"/>
      <c r="D644" s="94" t="n"/>
      <c r="E644" s="282" t="n"/>
      <c r="F644" s="282" t="n"/>
      <c r="G644" s="94" t="n"/>
      <c r="H644" s="94" t="n"/>
      <c r="I644" s="94" t="n"/>
      <c r="J644" s="94" t="n"/>
      <c r="K644" s="94" t="n"/>
      <c r="L644" s="94" t="n"/>
    </row>
    <row r="645" ht="13.5" customHeight="1">
      <c r="A645" s="94" t="n"/>
      <c r="B645" s="94" t="n"/>
      <c r="C645" s="94" t="n"/>
      <c r="D645" s="94" t="n"/>
      <c r="E645" s="282" t="n"/>
      <c r="F645" s="282" t="n"/>
      <c r="G645" s="94" t="n"/>
      <c r="H645" s="94" t="n"/>
      <c r="I645" s="94" t="n"/>
      <c r="J645" s="94" t="n"/>
      <c r="K645" s="94" t="n"/>
      <c r="L645" s="94" t="n"/>
    </row>
    <row r="646" ht="13.5" customHeight="1">
      <c r="A646" s="94" t="n"/>
      <c r="B646" s="94" t="n"/>
      <c r="C646" s="94" t="n"/>
      <c r="D646" s="94" t="n"/>
      <c r="E646" s="282" t="n"/>
      <c r="F646" s="282" t="n"/>
      <c r="G646" s="94" t="n"/>
      <c r="H646" s="94" t="n"/>
      <c r="I646" s="94" t="n"/>
      <c r="J646" s="94" t="n"/>
      <c r="K646" s="94" t="n"/>
      <c r="L646" s="94" t="n"/>
    </row>
    <row r="647" ht="13.5" customHeight="1">
      <c r="A647" s="94" t="n"/>
      <c r="B647" s="94" t="n"/>
      <c r="C647" s="94" t="n"/>
      <c r="D647" s="94" t="n"/>
      <c r="E647" s="282" t="n"/>
      <c r="F647" s="282" t="n"/>
      <c r="G647" s="94" t="n"/>
      <c r="H647" s="94" t="n"/>
      <c r="I647" s="94" t="n"/>
      <c r="J647" s="94" t="n"/>
      <c r="K647" s="94" t="n"/>
      <c r="L647" s="94" t="n"/>
    </row>
    <row r="648" ht="13.5" customHeight="1">
      <c r="A648" s="94" t="n"/>
      <c r="B648" s="94" t="n"/>
      <c r="C648" s="94" t="n"/>
      <c r="D648" s="94" t="n"/>
      <c r="E648" s="282" t="n"/>
      <c r="F648" s="282" t="n"/>
      <c r="G648" s="94" t="n"/>
      <c r="H648" s="94" t="n"/>
      <c r="I648" s="94" t="n"/>
      <c r="J648" s="94" t="n"/>
      <c r="K648" s="94" t="n"/>
      <c r="L648" s="94" t="n"/>
    </row>
    <row r="649" ht="13.5" customHeight="1">
      <c r="A649" s="94" t="n"/>
      <c r="B649" s="94" t="n"/>
      <c r="C649" s="94" t="n"/>
      <c r="D649" s="94" t="n"/>
      <c r="E649" s="282" t="n"/>
      <c r="F649" s="282" t="n"/>
      <c r="G649" s="94" t="n"/>
      <c r="H649" s="94" t="n"/>
      <c r="I649" s="94" t="n"/>
      <c r="J649" s="94" t="n"/>
      <c r="K649" s="94" t="n"/>
      <c r="L649" s="94" t="n"/>
    </row>
    <row r="650" ht="13.5" customHeight="1">
      <c r="A650" s="94" t="n"/>
      <c r="B650" s="94" t="n"/>
      <c r="C650" s="94" t="n"/>
      <c r="D650" s="94" t="n"/>
      <c r="E650" s="282" t="n"/>
      <c r="F650" s="282" t="n"/>
      <c r="G650" s="94" t="n"/>
      <c r="H650" s="94" t="n"/>
      <c r="I650" s="94" t="n"/>
      <c r="J650" s="94" t="n"/>
      <c r="K650" s="94" t="n"/>
      <c r="L650" s="94" t="n"/>
    </row>
    <row r="651" ht="13.5" customHeight="1">
      <c r="A651" s="94" t="n"/>
      <c r="B651" s="94" t="n"/>
      <c r="C651" s="94" t="n"/>
      <c r="D651" s="94" t="n"/>
      <c r="E651" s="282" t="n"/>
      <c r="F651" s="282" t="n"/>
      <c r="G651" s="94" t="n"/>
      <c r="H651" s="94" t="n"/>
      <c r="I651" s="94" t="n"/>
      <c r="J651" s="94" t="n"/>
      <c r="K651" s="94" t="n"/>
      <c r="L651" s="94" t="n"/>
    </row>
    <row r="652" ht="13.5" customHeight="1">
      <c r="A652" s="94" t="n"/>
      <c r="B652" s="94" t="n"/>
      <c r="C652" s="94" t="n"/>
      <c r="D652" s="94" t="n"/>
      <c r="E652" s="282" t="n"/>
      <c r="F652" s="282" t="n"/>
      <c r="G652" s="94" t="n"/>
      <c r="H652" s="94" t="n"/>
      <c r="I652" s="94" t="n"/>
      <c r="J652" s="94" t="n"/>
      <c r="K652" s="94" t="n"/>
      <c r="L652" s="94" t="n"/>
    </row>
    <row r="653" ht="13.5" customHeight="1">
      <c r="A653" s="94" t="n"/>
      <c r="B653" s="94" t="n"/>
      <c r="C653" s="94" t="n"/>
      <c r="D653" s="94" t="n"/>
      <c r="E653" s="282" t="n"/>
      <c r="F653" s="282" t="n"/>
      <c r="G653" s="94" t="n"/>
      <c r="H653" s="94" t="n"/>
      <c r="I653" s="94" t="n"/>
      <c r="J653" s="94" t="n"/>
      <c r="K653" s="94" t="n"/>
      <c r="L653" s="94" t="n"/>
    </row>
    <row r="654" ht="13.5" customHeight="1">
      <c r="A654" s="94" t="n"/>
      <c r="B654" s="94" t="n"/>
      <c r="C654" s="94" t="n"/>
      <c r="D654" s="94" t="n"/>
      <c r="E654" s="282" t="n"/>
      <c r="F654" s="282" t="n"/>
      <c r="G654" s="94" t="n"/>
      <c r="H654" s="94" t="n"/>
      <c r="I654" s="94" t="n"/>
      <c r="J654" s="94" t="n"/>
      <c r="K654" s="94" t="n"/>
      <c r="L654" s="94" t="n"/>
    </row>
    <row r="655" ht="13.5" customHeight="1">
      <c r="A655" s="94" t="n"/>
      <c r="B655" s="94" t="n"/>
      <c r="C655" s="94" t="n"/>
      <c r="D655" s="94" t="n"/>
      <c r="E655" s="282" t="n"/>
      <c r="F655" s="282" t="n"/>
      <c r="G655" s="94" t="n"/>
      <c r="H655" s="94" t="n"/>
      <c r="I655" s="94" t="n"/>
      <c r="J655" s="94" t="n"/>
      <c r="K655" s="94" t="n"/>
      <c r="L655" s="94" t="n"/>
    </row>
    <row r="656" ht="13.5" customHeight="1">
      <c r="A656" s="94" t="n"/>
      <c r="B656" s="94" t="n"/>
      <c r="C656" s="94" t="n"/>
      <c r="D656" s="94" t="n"/>
      <c r="E656" s="282" t="n"/>
      <c r="F656" s="282" t="n"/>
      <c r="G656" s="94" t="n"/>
      <c r="H656" s="94" t="n"/>
      <c r="I656" s="94" t="n"/>
      <c r="J656" s="94" t="n"/>
      <c r="K656" s="94" t="n"/>
      <c r="L656" s="94" t="n"/>
    </row>
    <row r="657" ht="13.5" customHeight="1">
      <c r="A657" s="94" t="n"/>
      <c r="B657" s="94" t="n"/>
      <c r="C657" s="94" t="n"/>
      <c r="D657" s="94" t="n"/>
      <c r="E657" s="282" t="n"/>
      <c r="F657" s="282" t="n"/>
      <c r="G657" s="94" t="n"/>
      <c r="H657" s="94" t="n"/>
      <c r="I657" s="94" t="n"/>
      <c r="J657" s="94" t="n"/>
      <c r="K657" s="94" t="n"/>
      <c r="L657" s="94" t="n"/>
    </row>
    <row r="658" ht="13.5" customHeight="1">
      <c r="A658" s="94" t="n"/>
      <c r="B658" s="94" t="n"/>
      <c r="C658" s="94" t="n"/>
      <c r="D658" s="94" t="n"/>
      <c r="E658" s="282" t="n"/>
      <c r="F658" s="282" t="n"/>
      <c r="G658" s="94" t="n"/>
      <c r="H658" s="94" t="n"/>
      <c r="I658" s="94" t="n"/>
      <c r="J658" s="94" t="n"/>
      <c r="K658" s="94" t="n"/>
      <c r="L658" s="94" t="n"/>
    </row>
    <row r="659" ht="13.5" customHeight="1">
      <c r="A659" s="94" t="n"/>
      <c r="B659" s="94" t="n"/>
      <c r="C659" s="94" t="n"/>
      <c r="D659" s="94" t="n"/>
      <c r="E659" s="282" t="n"/>
      <c r="F659" s="282" t="n"/>
      <c r="G659" s="94" t="n"/>
      <c r="H659" s="94" t="n"/>
      <c r="I659" s="94" t="n"/>
      <c r="J659" s="94" t="n"/>
      <c r="K659" s="94" t="n"/>
      <c r="L659" s="94" t="n"/>
    </row>
    <row r="660" ht="13.5" customHeight="1">
      <c r="A660" s="94" t="n"/>
      <c r="B660" s="94" t="n"/>
      <c r="C660" s="94" t="n"/>
      <c r="D660" s="94" t="n"/>
      <c r="E660" s="282" t="n"/>
      <c r="F660" s="282" t="n"/>
      <c r="G660" s="94" t="n"/>
      <c r="H660" s="94" t="n"/>
      <c r="I660" s="94" t="n"/>
      <c r="J660" s="94" t="n"/>
      <c r="K660" s="94" t="n"/>
      <c r="L660" s="94" t="n"/>
    </row>
    <row r="661" ht="13.5" customHeight="1">
      <c r="A661" s="94" t="n"/>
      <c r="B661" s="94" t="n"/>
      <c r="C661" s="94" t="n"/>
      <c r="D661" s="94" t="n"/>
      <c r="E661" s="282" t="n"/>
      <c r="F661" s="282" t="n"/>
      <c r="G661" s="94" t="n"/>
      <c r="H661" s="94" t="n"/>
      <c r="I661" s="94" t="n"/>
      <c r="J661" s="94" t="n"/>
      <c r="K661" s="94" t="n"/>
      <c r="L661" s="94" t="n"/>
    </row>
    <row r="662" ht="13.5" customHeight="1">
      <c r="A662" s="94" t="n"/>
      <c r="B662" s="94" t="n"/>
      <c r="C662" s="94" t="n"/>
      <c r="D662" s="94" t="n"/>
      <c r="E662" s="282" t="n"/>
      <c r="F662" s="282" t="n"/>
      <c r="G662" s="94" t="n"/>
      <c r="H662" s="94" t="n"/>
      <c r="I662" s="94" t="n"/>
      <c r="J662" s="94" t="n"/>
      <c r="K662" s="94" t="n"/>
      <c r="L662" s="94" t="n"/>
    </row>
    <row r="663" ht="13.5" customHeight="1">
      <c r="A663" s="94" t="n"/>
      <c r="B663" s="94" t="n"/>
      <c r="C663" s="94" t="n"/>
      <c r="D663" s="94" t="n"/>
      <c r="E663" s="282" t="n"/>
      <c r="F663" s="282" t="n"/>
      <c r="G663" s="94" t="n"/>
      <c r="H663" s="94" t="n"/>
      <c r="I663" s="94" t="n"/>
      <c r="J663" s="94" t="n"/>
      <c r="K663" s="94" t="n"/>
      <c r="L663" s="94" t="n"/>
    </row>
    <row r="664" ht="13.5" customHeight="1">
      <c r="A664" s="94" t="n"/>
      <c r="B664" s="94" t="n"/>
      <c r="C664" s="94" t="n"/>
      <c r="D664" s="94" t="n"/>
      <c r="E664" s="282" t="n"/>
      <c r="F664" s="282" t="n"/>
      <c r="G664" s="94" t="n"/>
      <c r="H664" s="94" t="n"/>
      <c r="I664" s="94" t="n"/>
      <c r="J664" s="94" t="n"/>
      <c r="K664" s="94" t="n"/>
      <c r="L664" s="94" t="n"/>
    </row>
    <row r="665" ht="13.5" customHeight="1">
      <c r="A665" s="94" t="n"/>
      <c r="B665" s="94" t="n"/>
      <c r="C665" s="94" t="n"/>
      <c r="D665" s="94" t="n"/>
      <c r="E665" s="282" t="n"/>
      <c r="F665" s="282" t="n"/>
      <c r="G665" s="94" t="n"/>
      <c r="H665" s="94" t="n"/>
      <c r="I665" s="94" t="n"/>
      <c r="J665" s="94" t="n"/>
      <c r="K665" s="94" t="n"/>
      <c r="L665" s="94" t="n"/>
    </row>
    <row r="666" ht="13.5" customHeight="1">
      <c r="A666" s="94" t="n"/>
      <c r="B666" s="94" t="n"/>
      <c r="C666" s="94" t="n"/>
      <c r="D666" s="94" t="n"/>
      <c r="E666" s="282" t="n"/>
      <c r="F666" s="282" t="n"/>
      <c r="G666" s="94" t="n"/>
      <c r="H666" s="94" t="n"/>
      <c r="I666" s="94" t="n"/>
      <c r="J666" s="94" t="n"/>
      <c r="K666" s="94" t="n"/>
      <c r="L666" s="94" t="n"/>
    </row>
    <row r="667" ht="13.5" customHeight="1">
      <c r="A667" s="94" t="n"/>
      <c r="B667" s="94" t="n"/>
      <c r="C667" s="94" t="n"/>
      <c r="D667" s="94" t="n"/>
      <c r="E667" s="282" t="n"/>
      <c r="F667" s="282" t="n"/>
      <c r="G667" s="94" t="n"/>
      <c r="H667" s="94" t="n"/>
      <c r="I667" s="94" t="n"/>
      <c r="J667" s="94" t="n"/>
      <c r="K667" s="94" t="n"/>
      <c r="L667" s="94" t="n"/>
    </row>
    <row r="668" ht="13.5" customHeight="1">
      <c r="A668" s="94" t="n"/>
      <c r="B668" s="94" t="n"/>
      <c r="C668" s="94" t="n"/>
      <c r="D668" s="94" t="n"/>
      <c r="E668" s="282" t="n"/>
      <c r="F668" s="282" t="n"/>
      <c r="G668" s="94" t="n"/>
      <c r="H668" s="94" t="n"/>
      <c r="I668" s="94" t="n"/>
      <c r="J668" s="94" t="n"/>
      <c r="K668" s="94" t="n"/>
      <c r="L668" s="94" t="n"/>
    </row>
    <row r="669" ht="13.5" customHeight="1">
      <c r="A669" s="94" t="n"/>
      <c r="B669" s="94" t="n"/>
      <c r="C669" s="94" t="n"/>
      <c r="D669" s="94" t="n"/>
      <c r="E669" s="282" t="n"/>
      <c r="F669" s="282" t="n"/>
      <c r="G669" s="94" t="n"/>
      <c r="H669" s="94" t="n"/>
      <c r="I669" s="94" t="n"/>
      <c r="J669" s="94" t="n"/>
      <c r="K669" s="94" t="n"/>
      <c r="L669" s="94" t="n"/>
    </row>
    <row r="670" ht="13.5" customHeight="1">
      <c r="A670" s="94" t="n"/>
      <c r="B670" s="94" t="n"/>
      <c r="C670" s="94" t="n"/>
      <c r="D670" s="94" t="n"/>
      <c r="E670" s="282" t="n"/>
      <c r="F670" s="282" t="n"/>
      <c r="G670" s="94" t="n"/>
      <c r="H670" s="94" t="n"/>
      <c r="I670" s="94" t="n"/>
      <c r="J670" s="94" t="n"/>
      <c r="K670" s="94" t="n"/>
      <c r="L670" s="94" t="n"/>
    </row>
    <row r="671" ht="13.5" customHeight="1">
      <c r="A671" s="94" t="n"/>
      <c r="B671" s="94" t="n"/>
      <c r="C671" s="94" t="n"/>
      <c r="D671" s="94" t="n"/>
      <c r="E671" s="282" t="n"/>
      <c r="F671" s="282" t="n"/>
      <c r="G671" s="94" t="n"/>
      <c r="H671" s="94" t="n"/>
      <c r="I671" s="94" t="n"/>
      <c r="J671" s="94" t="n"/>
      <c r="K671" s="94" t="n"/>
      <c r="L671" s="94" t="n"/>
    </row>
    <row r="672" ht="13.5" customHeight="1">
      <c r="A672" s="94" t="n"/>
      <c r="B672" s="94" t="n"/>
      <c r="C672" s="94" t="n"/>
      <c r="D672" s="94" t="n"/>
      <c r="E672" s="282" t="n"/>
      <c r="F672" s="282" t="n"/>
      <c r="G672" s="94" t="n"/>
      <c r="H672" s="94" t="n"/>
      <c r="I672" s="94" t="n"/>
      <c r="J672" s="94" t="n"/>
      <c r="K672" s="94" t="n"/>
      <c r="L672" s="94" t="n"/>
    </row>
    <row r="673" ht="13.5" customHeight="1">
      <c r="A673" s="94" t="n"/>
      <c r="B673" s="94" t="n"/>
      <c r="C673" s="94" t="n"/>
      <c r="D673" s="94" t="n"/>
      <c r="E673" s="282" t="n"/>
      <c r="F673" s="282" t="n"/>
      <c r="G673" s="94" t="n"/>
      <c r="H673" s="94" t="n"/>
      <c r="I673" s="94" t="n"/>
      <c r="J673" s="94" t="n"/>
      <c r="K673" s="94" t="n"/>
      <c r="L673" s="94" t="n"/>
    </row>
    <row r="674" ht="13.5" customHeight="1">
      <c r="A674" s="94" t="n"/>
      <c r="B674" s="94" t="n"/>
      <c r="C674" s="94" t="n"/>
      <c r="D674" s="94" t="n"/>
      <c r="E674" s="282" t="n"/>
      <c r="F674" s="282" t="n"/>
      <c r="G674" s="94" t="n"/>
      <c r="H674" s="94" t="n"/>
      <c r="I674" s="94" t="n"/>
      <c r="J674" s="94" t="n"/>
      <c r="K674" s="94" t="n"/>
      <c r="L674" s="94" t="n"/>
    </row>
    <row r="675" ht="13.5" customHeight="1">
      <c r="A675" s="94" t="n"/>
      <c r="B675" s="94" t="n"/>
      <c r="C675" s="94" t="n"/>
      <c r="D675" s="94" t="n"/>
      <c r="E675" s="282" t="n"/>
      <c r="F675" s="282" t="n"/>
      <c r="G675" s="94" t="n"/>
      <c r="H675" s="94" t="n"/>
      <c r="I675" s="94" t="n"/>
      <c r="J675" s="94" t="n"/>
      <c r="K675" s="94" t="n"/>
      <c r="L675" s="94" t="n"/>
    </row>
    <row r="676" ht="13.5" customHeight="1">
      <c r="A676" s="94" t="n"/>
      <c r="B676" s="94" t="n"/>
      <c r="C676" s="94" t="n"/>
      <c r="D676" s="94" t="n"/>
      <c r="E676" s="282" t="n"/>
      <c r="F676" s="282" t="n"/>
      <c r="G676" s="94" t="n"/>
      <c r="H676" s="94" t="n"/>
      <c r="I676" s="94" t="n"/>
      <c r="J676" s="94" t="n"/>
      <c r="K676" s="94" t="n"/>
      <c r="L676" s="94" t="n"/>
    </row>
    <row r="677" ht="13.5" customHeight="1">
      <c r="A677" s="94" t="n"/>
      <c r="B677" s="94" t="n"/>
      <c r="C677" s="94" t="n"/>
      <c r="D677" s="94" t="n"/>
      <c r="E677" s="282" t="n"/>
      <c r="F677" s="282" t="n"/>
      <c r="G677" s="94" t="n"/>
      <c r="H677" s="94" t="n"/>
      <c r="I677" s="94" t="n"/>
      <c r="J677" s="94" t="n"/>
      <c r="K677" s="94" t="n"/>
      <c r="L677" s="94" t="n"/>
    </row>
    <row r="678" ht="13.5" customHeight="1">
      <c r="A678" s="94" t="n"/>
      <c r="B678" s="94" t="n"/>
      <c r="C678" s="94" t="n"/>
      <c r="D678" s="94" t="n"/>
      <c r="E678" s="282" t="n"/>
      <c r="F678" s="282" t="n"/>
      <c r="G678" s="94" t="n"/>
      <c r="H678" s="94" t="n"/>
      <c r="I678" s="94" t="n"/>
      <c r="J678" s="94" t="n"/>
      <c r="K678" s="94" t="n"/>
      <c r="L678" s="94" t="n"/>
    </row>
    <row r="679" ht="13.5" customHeight="1">
      <c r="A679" s="94" t="n"/>
      <c r="B679" s="94" t="n"/>
      <c r="C679" s="94" t="n"/>
      <c r="D679" s="94" t="n"/>
      <c r="E679" s="282" t="n"/>
      <c r="F679" s="282" t="n"/>
      <c r="G679" s="94" t="n"/>
      <c r="H679" s="94" t="n"/>
      <c r="I679" s="94" t="n"/>
      <c r="J679" s="94" t="n"/>
      <c r="K679" s="94" t="n"/>
      <c r="L679" s="94" t="n"/>
    </row>
    <row r="680" ht="13.5" customHeight="1">
      <c r="A680" s="94" t="n"/>
      <c r="B680" s="94" t="n"/>
      <c r="C680" s="94" t="n"/>
      <c r="D680" s="94" t="n"/>
      <c r="E680" s="282" t="n"/>
      <c r="F680" s="282" t="n"/>
      <c r="G680" s="94" t="n"/>
      <c r="H680" s="94" t="n"/>
      <c r="I680" s="94" t="n"/>
      <c r="J680" s="94" t="n"/>
      <c r="K680" s="94" t="n"/>
      <c r="L680" s="94" t="n"/>
    </row>
    <row r="681" ht="13.5" customHeight="1">
      <c r="A681" s="94" t="n"/>
      <c r="B681" s="94" t="n"/>
      <c r="C681" s="94" t="n"/>
      <c r="D681" s="94" t="n"/>
      <c r="E681" s="282" t="n"/>
      <c r="F681" s="282" t="n"/>
      <c r="G681" s="94" t="n"/>
      <c r="H681" s="94" t="n"/>
      <c r="I681" s="94" t="n"/>
      <c r="J681" s="94" t="n"/>
      <c r="K681" s="94" t="n"/>
      <c r="L681" s="94" t="n"/>
    </row>
    <row r="682" ht="13.5" customHeight="1">
      <c r="A682" s="94" t="n"/>
      <c r="B682" s="94" t="n"/>
      <c r="C682" s="94" t="n"/>
      <c r="D682" s="94" t="n"/>
      <c r="E682" s="282" t="n"/>
      <c r="F682" s="282" t="n"/>
      <c r="G682" s="94" t="n"/>
      <c r="H682" s="94" t="n"/>
      <c r="I682" s="94" t="n"/>
      <c r="J682" s="94" t="n"/>
      <c r="K682" s="94" t="n"/>
      <c r="L682" s="94" t="n"/>
    </row>
    <row r="683" ht="13.5" customHeight="1">
      <c r="A683" s="94" t="n"/>
      <c r="B683" s="94" t="n"/>
      <c r="C683" s="94" t="n"/>
      <c r="D683" s="94" t="n"/>
      <c r="E683" s="282" t="n"/>
      <c r="F683" s="282" t="n"/>
      <c r="G683" s="94" t="n"/>
      <c r="H683" s="94" t="n"/>
      <c r="I683" s="94" t="n"/>
      <c r="J683" s="94" t="n"/>
      <c r="K683" s="94" t="n"/>
      <c r="L683" s="94" t="n"/>
    </row>
    <row r="684" ht="13.5" customHeight="1">
      <c r="A684" s="94" t="n"/>
      <c r="B684" s="94" t="n"/>
      <c r="C684" s="94" t="n"/>
      <c r="D684" s="94" t="n"/>
      <c r="E684" s="282" t="n"/>
      <c r="F684" s="282" t="n"/>
      <c r="G684" s="94" t="n"/>
      <c r="H684" s="94" t="n"/>
      <c r="I684" s="94" t="n"/>
      <c r="J684" s="94" t="n"/>
      <c r="K684" s="94" t="n"/>
      <c r="L684" s="94" t="n"/>
    </row>
    <row r="685" ht="13.5" customHeight="1">
      <c r="A685" s="94" t="n"/>
      <c r="B685" s="94" t="n"/>
      <c r="C685" s="94" t="n"/>
      <c r="D685" s="94" t="n"/>
      <c r="E685" s="282" t="n"/>
      <c r="F685" s="282" t="n"/>
      <c r="G685" s="94" t="n"/>
      <c r="H685" s="94" t="n"/>
      <c r="I685" s="94" t="n"/>
      <c r="J685" s="94" t="n"/>
      <c r="K685" s="94" t="n"/>
      <c r="L685" s="94" t="n"/>
    </row>
    <row r="686" ht="13.5" customHeight="1">
      <c r="A686" s="94" t="n"/>
      <c r="B686" s="94" t="n"/>
      <c r="C686" s="94" t="n"/>
      <c r="D686" s="94" t="n"/>
      <c r="E686" s="282" t="n"/>
      <c r="F686" s="282" t="n"/>
      <c r="G686" s="94" t="n"/>
      <c r="H686" s="94" t="n"/>
      <c r="I686" s="94" t="n"/>
      <c r="J686" s="94" t="n"/>
      <c r="K686" s="94" t="n"/>
      <c r="L686" s="94" t="n"/>
    </row>
    <row r="687" ht="13.5" customHeight="1">
      <c r="A687" s="94" t="n"/>
      <c r="B687" s="94" t="n"/>
      <c r="C687" s="94" t="n"/>
      <c r="D687" s="94" t="n"/>
      <c r="E687" s="282" t="n"/>
      <c r="F687" s="282" t="n"/>
      <c r="G687" s="94" t="n"/>
      <c r="H687" s="94" t="n"/>
      <c r="I687" s="94" t="n"/>
      <c r="J687" s="94" t="n"/>
      <c r="K687" s="94" t="n"/>
      <c r="L687" s="94" t="n"/>
    </row>
    <row r="688" ht="13.5" customHeight="1">
      <c r="A688" s="94" t="n"/>
      <c r="B688" s="94" t="n"/>
      <c r="C688" s="94" t="n"/>
      <c r="D688" s="94" t="n"/>
      <c r="E688" s="282" t="n"/>
      <c r="F688" s="282" t="n"/>
      <c r="G688" s="94" t="n"/>
      <c r="H688" s="94" t="n"/>
      <c r="I688" s="94" t="n"/>
      <c r="J688" s="94" t="n"/>
      <c r="K688" s="94" t="n"/>
      <c r="L688" s="94" t="n"/>
    </row>
    <row r="689" ht="13.5" customHeight="1">
      <c r="A689" s="94" t="n"/>
      <c r="B689" s="94" t="n"/>
      <c r="C689" s="94" t="n"/>
      <c r="D689" s="94" t="n"/>
      <c r="E689" s="282" t="n"/>
      <c r="F689" s="282" t="n"/>
      <c r="G689" s="94" t="n"/>
      <c r="H689" s="94" t="n"/>
      <c r="I689" s="94" t="n"/>
      <c r="J689" s="94" t="n"/>
      <c r="K689" s="94" t="n"/>
      <c r="L689" s="94" t="n"/>
    </row>
    <row r="690" ht="13.5" customHeight="1">
      <c r="A690" s="94" t="n"/>
      <c r="B690" s="94" t="n"/>
      <c r="C690" s="94" t="n"/>
      <c r="D690" s="94" t="n"/>
      <c r="E690" s="282" t="n"/>
      <c r="F690" s="282" t="n"/>
      <c r="G690" s="94" t="n"/>
      <c r="H690" s="94" t="n"/>
      <c r="I690" s="94" t="n"/>
      <c r="J690" s="94" t="n"/>
      <c r="K690" s="94" t="n"/>
      <c r="L690" s="94" t="n"/>
    </row>
    <row r="691" ht="13.5" customHeight="1">
      <c r="A691" s="94" t="n"/>
      <c r="B691" s="94" t="n"/>
      <c r="C691" s="94" t="n"/>
      <c r="D691" s="94" t="n"/>
      <c r="E691" s="282" t="n"/>
      <c r="F691" s="282" t="n"/>
      <c r="G691" s="94" t="n"/>
      <c r="H691" s="94" t="n"/>
      <c r="I691" s="94" t="n"/>
      <c r="J691" s="94" t="n"/>
      <c r="K691" s="94" t="n"/>
      <c r="L691" s="94" t="n"/>
    </row>
    <row r="692" ht="13.5" customHeight="1">
      <c r="A692" s="94" t="n"/>
      <c r="B692" s="94" t="n"/>
      <c r="C692" s="94" t="n"/>
      <c r="D692" s="94" t="n"/>
      <c r="E692" s="282" t="n"/>
      <c r="F692" s="282" t="n"/>
      <c r="G692" s="94" t="n"/>
      <c r="H692" s="94" t="n"/>
      <c r="I692" s="94" t="n"/>
      <c r="J692" s="94" t="n"/>
      <c r="K692" s="94" t="n"/>
      <c r="L692" s="94" t="n"/>
    </row>
    <row r="693" ht="13.5" customHeight="1">
      <c r="A693" s="94" t="n"/>
      <c r="B693" s="94" t="n"/>
      <c r="C693" s="94" t="n"/>
      <c r="D693" s="94" t="n"/>
      <c r="E693" s="282" t="n"/>
      <c r="F693" s="282" t="n"/>
      <c r="G693" s="94" t="n"/>
      <c r="H693" s="94" t="n"/>
      <c r="I693" s="94" t="n"/>
      <c r="J693" s="94" t="n"/>
      <c r="K693" s="94" t="n"/>
      <c r="L693" s="94" t="n"/>
    </row>
    <row r="694" ht="13.5" customHeight="1">
      <c r="A694" s="94" t="n"/>
      <c r="B694" s="94" t="n"/>
      <c r="C694" s="94" t="n"/>
      <c r="D694" s="94" t="n"/>
      <c r="E694" s="282" t="n"/>
      <c r="F694" s="282" t="n"/>
      <c r="G694" s="94" t="n"/>
      <c r="H694" s="94" t="n"/>
      <c r="I694" s="94" t="n"/>
      <c r="J694" s="94" t="n"/>
      <c r="K694" s="94" t="n"/>
      <c r="L694" s="94" t="n"/>
    </row>
    <row r="695" ht="13.5" customHeight="1">
      <c r="A695" s="94" t="n"/>
      <c r="B695" s="94" t="n"/>
      <c r="C695" s="94" t="n"/>
      <c r="D695" s="94" t="n"/>
      <c r="E695" s="282" t="n"/>
      <c r="F695" s="282" t="n"/>
      <c r="G695" s="94" t="n"/>
      <c r="H695" s="94" t="n"/>
      <c r="I695" s="94" t="n"/>
      <c r="J695" s="94" t="n"/>
      <c r="K695" s="94" t="n"/>
      <c r="L695" s="94" t="n"/>
    </row>
    <row r="696" ht="13.5" customHeight="1">
      <c r="A696" s="94" t="n"/>
      <c r="B696" s="94" t="n"/>
      <c r="C696" s="94" t="n"/>
      <c r="D696" s="94" t="n"/>
      <c r="E696" s="282" t="n"/>
      <c r="F696" s="282" t="n"/>
      <c r="G696" s="94" t="n"/>
      <c r="H696" s="94" t="n"/>
      <c r="I696" s="94" t="n"/>
      <c r="J696" s="94" t="n"/>
      <c r="K696" s="94" t="n"/>
      <c r="L696" s="94" t="n"/>
    </row>
    <row r="697" ht="13.5" customHeight="1">
      <c r="A697" s="94" t="n"/>
      <c r="B697" s="94" t="n"/>
      <c r="C697" s="94" t="n"/>
      <c r="D697" s="94" t="n"/>
      <c r="E697" s="282" t="n"/>
      <c r="F697" s="282" t="n"/>
      <c r="G697" s="94" t="n"/>
      <c r="H697" s="94" t="n"/>
      <c r="I697" s="94" t="n"/>
      <c r="J697" s="94" t="n"/>
      <c r="K697" s="94" t="n"/>
      <c r="L697" s="94" t="n"/>
    </row>
    <row r="698" ht="13.5" customHeight="1">
      <c r="A698" s="94" t="n"/>
      <c r="B698" s="94" t="n"/>
      <c r="C698" s="94" t="n"/>
      <c r="D698" s="94" t="n"/>
      <c r="E698" s="282" t="n"/>
      <c r="F698" s="282" t="n"/>
      <c r="G698" s="94" t="n"/>
      <c r="H698" s="94" t="n"/>
      <c r="I698" s="94" t="n"/>
      <c r="J698" s="94" t="n"/>
      <c r="K698" s="94" t="n"/>
      <c r="L698" s="94" t="n"/>
    </row>
    <row r="699" ht="13.5" customHeight="1">
      <c r="A699" s="94" t="n"/>
      <c r="B699" s="94" t="n"/>
      <c r="C699" s="94" t="n"/>
      <c r="D699" s="94" t="n"/>
      <c r="E699" s="282" t="n"/>
      <c r="F699" s="282" t="n"/>
      <c r="G699" s="94" t="n"/>
      <c r="H699" s="94" t="n"/>
      <c r="I699" s="94" t="n"/>
      <c r="J699" s="94" t="n"/>
      <c r="K699" s="94" t="n"/>
      <c r="L699" s="94" t="n"/>
    </row>
    <row r="700" ht="13.5" customHeight="1">
      <c r="A700" s="94" t="n"/>
      <c r="B700" s="94" t="n"/>
      <c r="C700" s="94" t="n"/>
      <c r="D700" s="94" t="n"/>
      <c r="E700" s="282" t="n"/>
      <c r="F700" s="282" t="n"/>
      <c r="G700" s="94" t="n"/>
      <c r="H700" s="94" t="n"/>
      <c r="I700" s="94" t="n"/>
      <c r="J700" s="94" t="n"/>
      <c r="K700" s="94" t="n"/>
      <c r="L700" s="94" t="n"/>
    </row>
    <row r="701" ht="13.5" customHeight="1">
      <c r="A701" s="94" t="n"/>
      <c r="B701" s="94" t="n"/>
      <c r="C701" s="94" t="n"/>
      <c r="D701" s="94" t="n"/>
      <c r="E701" s="282" t="n"/>
      <c r="F701" s="282" t="n"/>
      <c r="G701" s="94" t="n"/>
      <c r="H701" s="94" t="n"/>
      <c r="I701" s="94" t="n"/>
      <c r="J701" s="94" t="n"/>
      <c r="K701" s="94" t="n"/>
      <c r="L701" s="94" t="n"/>
    </row>
    <row r="702" ht="13.5" customHeight="1">
      <c r="A702" s="94" t="n"/>
      <c r="B702" s="94" t="n"/>
      <c r="C702" s="94" t="n"/>
      <c r="D702" s="94" t="n"/>
      <c r="E702" s="282" t="n"/>
      <c r="F702" s="282" t="n"/>
      <c r="G702" s="94" t="n"/>
      <c r="H702" s="94" t="n"/>
      <c r="I702" s="94" t="n"/>
      <c r="J702" s="94" t="n"/>
      <c r="K702" s="94" t="n"/>
      <c r="L702" s="94" t="n"/>
    </row>
    <row r="703" ht="13.5" customHeight="1">
      <c r="A703" s="94" t="n"/>
      <c r="B703" s="94" t="n"/>
      <c r="C703" s="94" t="n"/>
      <c r="D703" s="94" t="n"/>
      <c r="E703" s="282" t="n"/>
      <c r="F703" s="282" t="n"/>
      <c r="G703" s="94" t="n"/>
      <c r="H703" s="94" t="n"/>
      <c r="I703" s="94" t="n"/>
      <c r="J703" s="94" t="n"/>
      <c r="K703" s="94" t="n"/>
      <c r="L703" s="94" t="n"/>
    </row>
    <row r="704" ht="13.5" customHeight="1">
      <c r="A704" s="94" t="n"/>
      <c r="B704" s="94" t="n"/>
      <c r="C704" s="94" t="n"/>
      <c r="D704" s="94" t="n"/>
      <c r="E704" s="282" t="n"/>
      <c r="F704" s="282" t="n"/>
      <c r="G704" s="94" t="n"/>
      <c r="H704" s="94" t="n"/>
      <c r="I704" s="94" t="n"/>
      <c r="J704" s="94" t="n"/>
      <c r="K704" s="94" t="n"/>
      <c r="L704" s="94" t="n"/>
    </row>
    <row r="705" ht="13.5" customHeight="1">
      <c r="A705" s="94" t="n"/>
      <c r="B705" s="94" t="n"/>
      <c r="C705" s="94" t="n"/>
      <c r="D705" s="94" t="n"/>
      <c r="E705" s="282" t="n"/>
      <c r="F705" s="282" t="n"/>
      <c r="G705" s="94" t="n"/>
      <c r="H705" s="94" t="n"/>
      <c r="I705" s="94" t="n"/>
      <c r="J705" s="94" t="n"/>
      <c r="K705" s="94" t="n"/>
      <c r="L705" s="94" t="n"/>
    </row>
    <row r="706" ht="13.5" customHeight="1">
      <c r="A706" s="94" t="n"/>
      <c r="B706" s="94" t="n"/>
      <c r="C706" s="94" t="n"/>
      <c r="D706" s="94" t="n"/>
      <c r="E706" s="282" t="n"/>
      <c r="F706" s="282" t="n"/>
      <c r="G706" s="94" t="n"/>
      <c r="H706" s="94" t="n"/>
      <c r="I706" s="94" t="n"/>
      <c r="J706" s="94" t="n"/>
      <c r="K706" s="94" t="n"/>
      <c r="L706" s="94" t="n"/>
    </row>
    <row r="707" ht="13.5" customHeight="1">
      <c r="A707" s="94" t="n"/>
      <c r="B707" s="94" t="n"/>
      <c r="C707" s="94" t="n"/>
      <c r="D707" s="94" t="n"/>
      <c r="E707" s="282" t="n"/>
      <c r="F707" s="282" t="n"/>
      <c r="G707" s="94" t="n"/>
      <c r="H707" s="94" t="n"/>
      <c r="I707" s="94" t="n"/>
      <c r="J707" s="94" t="n"/>
      <c r="K707" s="94" t="n"/>
      <c r="L707" s="94" t="n"/>
    </row>
    <row r="708" ht="13.5" customHeight="1">
      <c r="A708" s="94" t="n"/>
      <c r="B708" s="94" t="n"/>
      <c r="C708" s="94" t="n"/>
      <c r="D708" s="94" t="n"/>
      <c r="E708" s="282" t="n"/>
      <c r="F708" s="282" t="n"/>
      <c r="G708" s="94" t="n"/>
      <c r="H708" s="94" t="n"/>
      <c r="I708" s="94" t="n"/>
      <c r="J708" s="94" t="n"/>
      <c r="K708" s="94" t="n"/>
      <c r="L708" s="94" t="n"/>
    </row>
    <row r="709" ht="13.5" customHeight="1">
      <c r="A709" s="94" t="n"/>
      <c r="B709" s="94" t="n"/>
      <c r="C709" s="94" t="n"/>
      <c r="D709" s="94" t="n"/>
      <c r="E709" s="282" t="n"/>
      <c r="F709" s="282" t="n"/>
      <c r="G709" s="94" t="n"/>
      <c r="H709" s="94" t="n"/>
      <c r="I709" s="94" t="n"/>
      <c r="J709" s="94" t="n"/>
      <c r="K709" s="94" t="n"/>
      <c r="L709" s="94" t="n"/>
    </row>
    <row r="710" ht="13.5" customHeight="1">
      <c r="A710" s="94" t="n"/>
      <c r="B710" s="94" t="n"/>
      <c r="C710" s="94" t="n"/>
      <c r="D710" s="94" t="n"/>
      <c r="E710" s="282" t="n"/>
      <c r="F710" s="282" t="n"/>
      <c r="G710" s="94" t="n"/>
      <c r="H710" s="94" t="n"/>
      <c r="I710" s="94" t="n"/>
      <c r="J710" s="94" t="n"/>
      <c r="K710" s="94" t="n"/>
      <c r="L710" s="94" t="n"/>
    </row>
    <row r="711" ht="13.5" customHeight="1">
      <c r="A711" s="94" t="n"/>
      <c r="B711" s="94" t="n"/>
      <c r="C711" s="94" t="n"/>
      <c r="D711" s="94" t="n"/>
      <c r="E711" s="282" t="n"/>
      <c r="F711" s="282" t="n"/>
      <c r="G711" s="94" t="n"/>
      <c r="H711" s="94" t="n"/>
      <c r="I711" s="94" t="n"/>
      <c r="J711" s="94" t="n"/>
      <c r="K711" s="94" t="n"/>
      <c r="L711" s="94" t="n"/>
    </row>
    <row r="712" ht="13.5" customHeight="1">
      <c r="A712" s="94" t="n"/>
      <c r="B712" s="94" t="n"/>
      <c r="C712" s="94" t="n"/>
      <c r="D712" s="94" t="n"/>
      <c r="E712" s="282" t="n"/>
      <c r="F712" s="282" t="n"/>
      <c r="G712" s="94" t="n"/>
      <c r="H712" s="94" t="n"/>
      <c r="I712" s="94" t="n"/>
      <c r="J712" s="94" t="n"/>
      <c r="K712" s="94" t="n"/>
      <c r="L712" s="94" t="n"/>
    </row>
    <row r="713" ht="13.5" customHeight="1">
      <c r="A713" s="94" t="n"/>
      <c r="B713" s="94" t="n"/>
      <c r="C713" s="94" t="n"/>
      <c r="D713" s="94" t="n"/>
      <c r="E713" s="282" t="n"/>
      <c r="F713" s="282" t="n"/>
      <c r="G713" s="94" t="n"/>
      <c r="H713" s="94" t="n"/>
      <c r="I713" s="94" t="n"/>
      <c r="J713" s="94" t="n"/>
      <c r="K713" s="94" t="n"/>
      <c r="L713" s="94" t="n"/>
    </row>
    <row r="714" ht="13.5" customHeight="1">
      <c r="A714" s="94" t="n"/>
      <c r="B714" s="94" t="n"/>
      <c r="C714" s="94" t="n"/>
      <c r="D714" s="94" t="n"/>
      <c r="E714" s="282" t="n"/>
      <c r="F714" s="282" t="n"/>
      <c r="G714" s="94" t="n"/>
      <c r="H714" s="94" t="n"/>
      <c r="I714" s="94" t="n"/>
      <c r="J714" s="94" t="n"/>
      <c r="K714" s="94" t="n"/>
      <c r="L714" s="94" t="n"/>
    </row>
    <row r="715" ht="13.5" customHeight="1">
      <c r="A715" s="94" t="n"/>
      <c r="B715" s="94" t="n"/>
      <c r="C715" s="94" t="n"/>
      <c r="D715" s="94" t="n"/>
      <c r="E715" s="282" t="n"/>
      <c r="F715" s="282" t="n"/>
      <c r="G715" s="94" t="n"/>
      <c r="H715" s="94" t="n"/>
      <c r="I715" s="94" t="n"/>
      <c r="J715" s="94" t="n"/>
      <c r="K715" s="94" t="n"/>
      <c r="L715" s="94" t="n"/>
    </row>
    <row r="716" ht="13.5" customHeight="1">
      <c r="A716" s="94" t="n"/>
      <c r="B716" s="94" t="n"/>
      <c r="C716" s="94" t="n"/>
      <c r="D716" s="94" t="n"/>
      <c r="E716" s="282" t="n"/>
      <c r="F716" s="282" t="n"/>
      <c r="G716" s="94" t="n"/>
      <c r="H716" s="94" t="n"/>
      <c r="I716" s="94" t="n"/>
      <c r="J716" s="94" t="n"/>
      <c r="K716" s="94" t="n"/>
      <c r="L716" s="94" t="n"/>
    </row>
    <row r="717" ht="13.5" customHeight="1">
      <c r="A717" s="94" t="n"/>
      <c r="B717" s="94" t="n"/>
      <c r="C717" s="94" t="n"/>
      <c r="D717" s="94" t="n"/>
      <c r="E717" s="282" t="n"/>
      <c r="F717" s="282" t="n"/>
      <c r="G717" s="94" t="n"/>
      <c r="H717" s="94" t="n"/>
      <c r="I717" s="94" t="n"/>
      <c r="J717" s="94" t="n"/>
      <c r="K717" s="94" t="n"/>
      <c r="L717" s="94" t="n"/>
    </row>
    <row r="718" ht="13.5" customHeight="1">
      <c r="A718" s="94" t="n"/>
      <c r="B718" s="94" t="n"/>
      <c r="C718" s="94" t="n"/>
      <c r="D718" s="94" t="n"/>
      <c r="E718" s="282" t="n"/>
      <c r="F718" s="282" t="n"/>
      <c r="G718" s="94" t="n"/>
      <c r="H718" s="94" t="n"/>
      <c r="I718" s="94" t="n"/>
      <c r="J718" s="94" t="n"/>
      <c r="K718" s="94" t="n"/>
      <c r="L718" s="94" t="n"/>
    </row>
    <row r="719" ht="13.5" customHeight="1">
      <c r="A719" s="94" t="n"/>
      <c r="B719" s="94" t="n"/>
      <c r="C719" s="94" t="n"/>
      <c r="D719" s="94" t="n"/>
      <c r="E719" s="282" t="n"/>
      <c r="F719" s="282" t="n"/>
      <c r="G719" s="94" t="n"/>
      <c r="H719" s="94" t="n"/>
      <c r="I719" s="94" t="n"/>
      <c r="J719" s="94" t="n"/>
      <c r="K719" s="94" t="n"/>
      <c r="L719" s="94" t="n"/>
    </row>
    <row r="720" ht="13.5" customHeight="1">
      <c r="A720" s="94" t="n"/>
      <c r="B720" s="94" t="n"/>
      <c r="C720" s="94" t="n"/>
      <c r="D720" s="94" t="n"/>
      <c r="E720" s="282" t="n"/>
      <c r="F720" s="282" t="n"/>
      <c r="G720" s="94" t="n"/>
      <c r="H720" s="94" t="n"/>
      <c r="I720" s="94" t="n"/>
      <c r="J720" s="94" t="n"/>
      <c r="K720" s="94" t="n"/>
      <c r="L720" s="94" t="n"/>
    </row>
    <row r="721" ht="13.5" customHeight="1">
      <c r="A721" s="94" t="n"/>
      <c r="B721" s="94" t="n"/>
      <c r="C721" s="94" t="n"/>
      <c r="D721" s="94" t="n"/>
      <c r="E721" s="282" t="n"/>
      <c r="F721" s="282" t="n"/>
      <c r="G721" s="94" t="n"/>
      <c r="H721" s="94" t="n"/>
      <c r="I721" s="94" t="n"/>
      <c r="J721" s="94" t="n"/>
      <c r="K721" s="94" t="n"/>
      <c r="L721" s="94" t="n"/>
    </row>
    <row r="722" ht="13.5" customHeight="1">
      <c r="A722" s="94" t="n"/>
      <c r="B722" s="94" t="n"/>
      <c r="C722" s="94" t="n"/>
      <c r="D722" s="94" t="n"/>
      <c r="E722" s="282" t="n"/>
      <c r="F722" s="282" t="n"/>
      <c r="G722" s="94" t="n"/>
      <c r="H722" s="94" t="n"/>
      <c r="I722" s="94" t="n"/>
      <c r="J722" s="94" t="n"/>
      <c r="K722" s="94" t="n"/>
      <c r="L722" s="94" t="n"/>
    </row>
    <row r="723" ht="13.5" customHeight="1">
      <c r="A723" s="94" t="n"/>
      <c r="B723" s="94" t="n"/>
      <c r="C723" s="94" t="n"/>
      <c r="D723" s="94" t="n"/>
      <c r="E723" s="282" t="n"/>
      <c r="F723" s="282" t="n"/>
      <c r="G723" s="94" t="n"/>
      <c r="H723" s="94" t="n"/>
      <c r="I723" s="94" t="n"/>
      <c r="J723" s="94" t="n"/>
      <c r="K723" s="94" t="n"/>
      <c r="L723" s="94" t="n"/>
    </row>
    <row r="724" ht="13.5" customHeight="1">
      <c r="A724" s="94" t="n"/>
      <c r="B724" s="94" t="n"/>
      <c r="C724" s="94" t="n"/>
      <c r="D724" s="94" t="n"/>
      <c r="E724" s="282" t="n"/>
      <c r="F724" s="282" t="n"/>
      <c r="G724" s="94" t="n"/>
      <c r="H724" s="94" t="n"/>
      <c r="I724" s="94" t="n"/>
      <c r="J724" s="94" t="n"/>
      <c r="K724" s="94" t="n"/>
      <c r="L724" s="94" t="n"/>
    </row>
    <row r="725" ht="13.5" customHeight="1">
      <c r="A725" s="94" t="n"/>
      <c r="B725" s="94" t="n"/>
      <c r="C725" s="94" t="n"/>
      <c r="D725" s="94" t="n"/>
      <c r="E725" s="282" t="n"/>
      <c r="F725" s="282" t="n"/>
      <c r="G725" s="94" t="n"/>
      <c r="H725" s="94" t="n"/>
      <c r="I725" s="94" t="n"/>
      <c r="J725" s="94" t="n"/>
      <c r="K725" s="94" t="n"/>
      <c r="L725" s="94" t="n"/>
    </row>
    <row r="726" ht="13.5" customHeight="1">
      <c r="A726" s="94" t="n"/>
      <c r="B726" s="94" t="n"/>
      <c r="C726" s="94" t="n"/>
      <c r="D726" s="94" t="n"/>
      <c r="E726" s="282" t="n"/>
      <c r="F726" s="282" t="n"/>
      <c r="G726" s="94" t="n"/>
      <c r="H726" s="94" t="n"/>
      <c r="I726" s="94" t="n"/>
      <c r="J726" s="94" t="n"/>
      <c r="K726" s="94" t="n"/>
      <c r="L726" s="94" t="n"/>
    </row>
    <row r="727" ht="13.5" customHeight="1">
      <c r="A727" s="94" t="n"/>
      <c r="B727" s="94" t="n"/>
      <c r="C727" s="94" t="n"/>
      <c r="D727" s="94" t="n"/>
      <c r="E727" s="282" t="n"/>
      <c r="F727" s="282" t="n"/>
      <c r="G727" s="94" t="n"/>
      <c r="H727" s="94" t="n"/>
      <c r="I727" s="94" t="n"/>
      <c r="J727" s="94" t="n"/>
      <c r="K727" s="94" t="n"/>
      <c r="L727" s="94" t="n"/>
    </row>
    <row r="728" ht="13.5" customHeight="1">
      <c r="A728" s="94" t="n"/>
      <c r="B728" s="94" t="n"/>
      <c r="C728" s="94" t="n"/>
      <c r="D728" s="94" t="n"/>
      <c r="E728" s="282" t="n"/>
      <c r="F728" s="282" t="n"/>
      <c r="G728" s="94" t="n"/>
      <c r="H728" s="94" t="n"/>
      <c r="I728" s="94" t="n"/>
      <c r="J728" s="94" t="n"/>
      <c r="K728" s="94" t="n"/>
      <c r="L728" s="94" t="n"/>
    </row>
    <row r="729" ht="13.5" customHeight="1">
      <c r="A729" s="94" t="n"/>
      <c r="B729" s="94" t="n"/>
      <c r="C729" s="94" t="n"/>
      <c r="D729" s="94" t="n"/>
      <c r="E729" s="282" t="n"/>
      <c r="F729" s="282" t="n"/>
      <c r="G729" s="94" t="n"/>
      <c r="H729" s="94" t="n"/>
      <c r="I729" s="94" t="n"/>
      <c r="J729" s="94" t="n"/>
      <c r="K729" s="94" t="n"/>
      <c r="L729" s="94" t="n"/>
    </row>
    <row r="730" ht="13.5" customHeight="1">
      <c r="A730" s="94" t="n"/>
      <c r="B730" s="94" t="n"/>
      <c r="C730" s="94" t="n"/>
      <c r="D730" s="94" t="n"/>
      <c r="E730" s="282" t="n"/>
      <c r="F730" s="282" t="n"/>
      <c r="G730" s="94" t="n"/>
      <c r="H730" s="94" t="n"/>
      <c r="I730" s="94" t="n"/>
      <c r="J730" s="94" t="n"/>
      <c r="K730" s="94" t="n"/>
      <c r="L730" s="94" t="n"/>
    </row>
    <row r="731" ht="13.5" customHeight="1">
      <c r="A731" s="94" t="n"/>
      <c r="B731" s="94" t="n"/>
      <c r="C731" s="94" t="n"/>
      <c r="D731" s="94" t="n"/>
      <c r="E731" s="282" t="n"/>
      <c r="F731" s="282" t="n"/>
      <c r="G731" s="94" t="n"/>
      <c r="H731" s="94" t="n"/>
      <c r="I731" s="94" t="n"/>
      <c r="J731" s="94" t="n"/>
      <c r="K731" s="94" t="n"/>
      <c r="L731" s="94" t="n"/>
    </row>
    <row r="732" ht="13.5" customHeight="1">
      <c r="A732" s="94" t="n"/>
      <c r="B732" s="94" t="n"/>
      <c r="C732" s="94" t="n"/>
      <c r="D732" s="94" t="n"/>
      <c r="E732" s="282" t="n"/>
      <c r="F732" s="282" t="n"/>
      <c r="G732" s="94" t="n"/>
      <c r="H732" s="94" t="n"/>
      <c r="I732" s="94" t="n"/>
      <c r="J732" s="94" t="n"/>
      <c r="K732" s="94" t="n"/>
      <c r="L732" s="94" t="n"/>
    </row>
    <row r="733" ht="13.5" customHeight="1">
      <c r="A733" s="94" t="n"/>
      <c r="B733" s="94" t="n"/>
      <c r="C733" s="94" t="n"/>
      <c r="D733" s="94" t="n"/>
      <c r="E733" s="282" t="n"/>
      <c r="F733" s="282" t="n"/>
      <c r="G733" s="94" t="n"/>
      <c r="H733" s="94" t="n"/>
      <c r="I733" s="94" t="n"/>
      <c r="J733" s="94" t="n"/>
      <c r="K733" s="94" t="n"/>
      <c r="L733" s="94" t="n"/>
    </row>
    <row r="734" ht="13.5" customHeight="1">
      <c r="A734" s="94" t="n"/>
      <c r="B734" s="94" t="n"/>
      <c r="C734" s="94" t="n"/>
      <c r="D734" s="94" t="n"/>
      <c r="E734" s="282" t="n"/>
      <c r="F734" s="282" t="n"/>
      <c r="G734" s="94" t="n"/>
      <c r="H734" s="94" t="n"/>
      <c r="I734" s="94" t="n"/>
      <c r="J734" s="94" t="n"/>
      <c r="K734" s="94" t="n"/>
      <c r="L734" s="94" t="n"/>
    </row>
    <row r="735" ht="13.5" customHeight="1">
      <c r="A735" s="94" t="n"/>
      <c r="B735" s="94" t="n"/>
      <c r="C735" s="94" t="n"/>
      <c r="D735" s="94" t="n"/>
      <c r="E735" s="282" t="n"/>
      <c r="F735" s="282" t="n"/>
      <c r="G735" s="94" t="n"/>
      <c r="H735" s="94" t="n"/>
      <c r="I735" s="94" t="n"/>
      <c r="J735" s="94" t="n"/>
      <c r="K735" s="94" t="n"/>
      <c r="L735" s="94" t="n"/>
    </row>
    <row r="736" ht="13.5" customHeight="1">
      <c r="A736" s="94" t="n"/>
      <c r="B736" s="94" t="n"/>
      <c r="C736" s="94" t="n"/>
      <c r="D736" s="94" t="n"/>
      <c r="E736" s="282" t="n"/>
      <c r="F736" s="282" t="n"/>
      <c r="G736" s="94" t="n"/>
      <c r="H736" s="94" t="n"/>
      <c r="I736" s="94" t="n"/>
      <c r="J736" s="94" t="n"/>
      <c r="K736" s="94" t="n"/>
      <c r="L736" s="94" t="n"/>
    </row>
    <row r="737" ht="13.5" customHeight="1">
      <c r="A737" s="94" t="n"/>
      <c r="B737" s="94" t="n"/>
      <c r="C737" s="94" t="n"/>
      <c r="D737" s="94" t="n"/>
      <c r="E737" s="282" t="n"/>
      <c r="F737" s="282" t="n"/>
      <c r="G737" s="94" t="n"/>
      <c r="H737" s="94" t="n"/>
      <c r="I737" s="94" t="n"/>
      <c r="J737" s="94" t="n"/>
      <c r="K737" s="94" t="n"/>
      <c r="L737" s="94" t="n"/>
    </row>
    <row r="738" ht="13.5" customHeight="1">
      <c r="A738" s="94" t="n"/>
      <c r="B738" s="94" t="n"/>
      <c r="C738" s="94" t="n"/>
      <c r="D738" s="94" t="n"/>
      <c r="E738" s="282" t="n"/>
      <c r="F738" s="282" t="n"/>
      <c r="G738" s="94" t="n"/>
      <c r="H738" s="94" t="n"/>
      <c r="I738" s="94" t="n"/>
      <c r="J738" s="94" t="n"/>
      <c r="K738" s="94" t="n"/>
      <c r="L738" s="94" t="n"/>
    </row>
    <row r="739" ht="13.5" customHeight="1">
      <c r="A739" s="94" t="n"/>
      <c r="B739" s="94" t="n"/>
      <c r="C739" s="94" t="n"/>
      <c r="D739" s="94" t="n"/>
      <c r="E739" s="282" t="n"/>
      <c r="F739" s="282" t="n"/>
      <c r="G739" s="94" t="n"/>
      <c r="H739" s="94" t="n"/>
      <c r="I739" s="94" t="n"/>
      <c r="J739" s="94" t="n"/>
      <c r="K739" s="94" t="n"/>
      <c r="L739" s="94" t="n"/>
    </row>
    <row r="740" ht="13.5" customHeight="1">
      <c r="A740" s="94" t="n"/>
      <c r="B740" s="94" t="n"/>
      <c r="C740" s="94" t="n"/>
      <c r="D740" s="94" t="n"/>
      <c r="E740" s="282" t="n"/>
      <c r="F740" s="282" t="n"/>
      <c r="G740" s="94" t="n"/>
      <c r="H740" s="94" t="n"/>
      <c r="I740" s="94" t="n"/>
      <c r="J740" s="94" t="n"/>
      <c r="K740" s="94" t="n"/>
      <c r="L740" s="94" t="n"/>
    </row>
    <row r="741" ht="13.5" customHeight="1">
      <c r="A741" s="94" t="n"/>
      <c r="B741" s="94" t="n"/>
      <c r="C741" s="94" t="n"/>
      <c r="D741" s="94" t="n"/>
      <c r="E741" s="282" t="n"/>
      <c r="F741" s="282" t="n"/>
      <c r="G741" s="94" t="n"/>
      <c r="H741" s="94" t="n"/>
      <c r="I741" s="94" t="n"/>
      <c r="J741" s="94" t="n"/>
      <c r="K741" s="94" t="n"/>
      <c r="L741" s="94" t="n"/>
    </row>
    <row r="742" ht="13.5" customHeight="1">
      <c r="A742" s="94" t="n"/>
      <c r="B742" s="94" t="n"/>
      <c r="C742" s="94" t="n"/>
      <c r="D742" s="94" t="n"/>
      <c r="E742" s="282" t="n"/>
      <c r="F742" s="282" t="n"/>
      <c r="G742" s="94" t="n"/>
      <c r="H742" s="94" t="n"/>
      <c r="I742" s="94" t="n"/>
      <c r="J742" s="94" t="n"/>
      <c r="K742" s="94" t="n"/>
      <c r="L742" s="94" t="n"/>
    </row>
    <row r="743" ht="13.5" customHeight="1">
      <c r="A743" s="94" t="n"/>
      <c r="B743" s="94" t="n"/>
      <c r="C743" s="94" t="n"/>
      <c r="D743" s="94" t="n"/>
      <c r="E743" s="282" t="n"/>
      <c r="F743" s="282" t="n"/>
      <c r="G743" s="94" t="n"/>
      <c r="H743" s="94" t="n"/>
      <c r="I743" s="94" t="n"/>
      <c r="J743" s="94" t="n"/>
      <c r="K743" s="94" t="n"/>
      <c r="L743" s="94" t="n"/>
    </row>
    <row r="744" ht="13.5" customHeight="1">
      <c r="A744" s="94" t="n"/>
      <c r="B744" s="94" t="n"/>
      <c r="C744" s="94" t="n"/>
      <c r="D744" s="94" t="n"/>
      <c r="E744" s="282" t="n"/>
      <c r="F744" s="282" t="n"/>
      <c r="G744" s="94" t="n"/>
      <c r="H744" s="94" t="n"/>
      <c r="I744" s="94" t="n"/>
      <c r="J744" s="94" t="n"/>
      <c r="K744" s="94" t="n"/>
      <c r="L744" s="94" t="n"/>
    </row>
    <row r="745" ht="13.5" customHeight="1">
      <c r="A745" s="94" t="n"/>
      <c r="B745" s="94" t="n"/>
      <c r="C745" s="94" t="n"/>
      <c r="D745" s="94" t="n"/>
      <c r="E745" s="282" t="n"/>
      <c r="F745" s="282" t="n"/>
      <c r="G745" s="94" t="n"/>
      <c r="H745" s="94" t="n"/>
      <c r="I745" s="94" t="n"/>
      <c r="J745" s="94" t="n"/>
      <c r="K745" s="94" t="n"/>
      <c r="L745" s="94" t="n"/>
    </row>
    <row r="746" ht="13.5" customHeight="1">
      <c r="A746" s="94" t="n"/>
      <c r="B746" s="94" t="n"/>
      <c r="C746" s="94" t="n"/>
      <c r="D746" s="94" t="n"/>
      <c r="E746" s="282" t="n"/>
      <c r="F746" s="282" t="n"/>
      <c r="G746" s="94" t="n"/>
      <c r="H746" s="94" t="n"/>
      <c r="I746" s="94" t="n"/>
      <c r="J746" s="94" t="n"/>
      <c r="K746" s="94" t="n"/>
      <c r="L746" s="94" t="n"/>
    </row>
    <row r="747" ht="13.5" customHeight="1">
      <c r="A747" s="94" t="n"/>
      <c r="B747" s="94" t="n"/>
      <c r="C747" s="94" t="n"/>
      <c r="D747" s="94" t="n"/>
      <c r="E747" s="282" t="n"/>
      <c r="F747" s="282" t="n"/>
      <c r="G747" s="94" t="n"/>
      <c r="H747" s="94" t="n"/>
      <c r="I747" s="94" t="n"/>
      <c r="J747" s="94" t="n"/>
      <c r="K747" s="94" t="n"/>
      <c r="L747" s="94" t="n"/>
    </row>
    <row r="748" ht="13.5" customHeight="1">
      <c r="A748" s="94" t="n"/>
      <c r="B748" s="94" t="n"/>
      <c r="C748" s="94" t="n"/>
      <c r="D748" s="94" t="n"/>
      <c r="E748" s="282" t="n"/>
      <c r="F748" s="282" t="n"/>
      <c r="G748" s="94" t="n"/>
      <c r="H748" s="94" t="n"/>
      <c r="I748" s="94" t="n"/>
      <c r="J748" s="94" t="n"/>
      <c r="K748" s="94" t="n"/>
      <c r="L748" s="94" t="n"/>
    </row>
    <row r="749" ht="13.5" customHeight="1">
      <c r="A749" s="94" t="n"/>
      <c r="B749" s="94" t="n"/>
      <c r="C749" s="94" t="n"/>
      <c r="D749" s="94" t="n"/>
      <c r="E749" s="282" t="n"/>
      <c r="F749" s="282" t="n"/>
      <c r="G749" s="94" t="n"/>
      <c r="H749" s="94" t="n"/>
      <c r="I749" s="94" t="n"/>
      <c r="J749" s="94" t="n"/>
      <c r="K749" s="94" t="n"/>
      <c r="L749" s="94" t="n"/>
    </row>
    <row r="750" ht="13.5" customHeight="1">
      <c r="A750" s="94" t="n"/>
      <c r="B750" s="94" t="n"/>
      <c r="C750" s="94" t="n"/>
      <c r="D750" s="94" t="n"/>
      <c r="E750" s="282" t="n"/>
      <c r="F750" s="282" t="n"/>
      <c r="G750" s="94" t="n"/>
      <c r="H750" s="94" t="n"/>
      <c r="I750" s="94" t="n"/>
      <c r="J750" s="94" t="n"/>
      <c r="K750" s="94" t="n"/>
      <c r="L750" s="94" t="n"/>
    </row>
    <row r="751" ht="13.5" customHeight="1">
      <c r="A751" s="94" t="n"/>
      <c r="B751" s="94" t="n"/>
      <c r="C751" s="94" t="n"/>
      <c r="D751" s="94" t="n"/>
      <c r="E751" s="282" t="n"/>
      <c r="F751" s="282" t="n"/>
      <c r="G751" s="94" t="n"/>
      <c r="H751" s="94" t="n"/>
      <c r="I751" s="94" t="n"/>
      <c r="J751" s="94" t="n"/>
      <c r="K751" s="94" t="n"/>
      <c r="L751" s="94" t="n"/>
    </row>
    <row r="752" ht="13.5" customHeight="1">
      <c r="A752" s="94" t="n"/>
      <c r="B752" s="94" t="n"/>
      <c r="C752" s="94" t="n"/>
      <c r="D752" s="94" t="n"/>
      <c r="E752" s="282" t="n"/>
      <c r="F752" s="282" t="n"/>
      <c r="G752" s="94" t="n"/>
      <c r="H752" s="94" t="n"/>
      <c r="I752" s="94" t="n"/>
      <c r="J752" s="94" t="n"/>
      <c r="K752" s="94" t="n"/>
      <c r="L752" s="94" t="n"/>
    </row>
    <row r="753" ht="13.5" customHeight="1">
      <c r="A753" s="94" t="n"/>
      <c r="B753" s="94" t="n"/>
      <c r="C753" s="94" t="n"/>
      <c r="D753" s="94" t="n"/>
      <c r="E753" s="282" t="n"/>
      <c r="F753" s="282" t="n"/>
      <c r="G753" s="94" t="n"/>
      <c r="H753" s="94" t="n"/>
      <c r="I753" s="94" t="n"/>
      <c r="J753" s="94" t="n"/>
      <c r="K753" s="94" t="n"/>
      <c r="L753" s="94" t="n"/>
    </row>
    <row r="754" ht="13.5" customHeight="1">
      <c r="A754" s="94" t="n"/>
      <c r="B754" s="94" t="n"/>
      <c r="C754" s="94" t="n"/>
      <c r="D754" s="94" t="n"/>
      <c r="E754" s="282" t="n"/>
      <c r="F754" s="282" t="n"/>
      <c r="G754" s="94" t="n"/>
      <c r="H754" s="94" t="n"/>
      <c r="I754" s="94" t="n"/>
      <c r="J754" s="94" t="n"/>
      <c r="K754" s="94" t="n"/>
      <c r="L754" s="94" t="n"/>
    </row>
    <row r="755" ht="13.5" customHeight="1">
      <c r="A755" s="94" t="n"/>
      <c r="B755" s="94" t="n"/>
      <c r="C755" s="94" t="n"/>
      <c r="D755" s="94" t="n"/>
      <c r="E755" s="282" t="n"/>
      <c r="F755" s="282" t="n"/>
      <c r="G755" s="94" t="n"/>
      <c r="H755" s="94" t="n"/>
      <c r="I755" s="94" t="n"/>
      <c r="J755" s="94" t="n"/>
      <c r="K755" s="94" t="n"/>
      <c r="L755" s="94" t="n"/>
    </row>
    <row r="756" ht="13.5" customHeight="1">
      <c r="A756" s="94" t="n"/>
      <c r="B756" s="94" t="n"/>
      <c r="C756" s="94" t="n"/>
      <c r="D756" s="94" t="n"/>
      <c r="E756" s="282" t="n"/>
      <c r="F756" s="282" t="n"/>
      <c r="G756" s="94" t="n"/>
      <c r="H756" s="94" t="n"/>
      <c r="I756" s="94" t="n"/>
      <c r="J756" s="94" t="n"/>
      <c r="K756" s="94" t="n"/>
      <c r="L756" s="94" t="n"/>
    </row>
    <row r="757" ht="13.5" customHeight="1">
      <c r="A757" s="94" t="n"/>
      <c r="B757" s="94" t="n"/>
      <c r="C757" s="94" t="n"/>
      <c r="D757" s="94" t="n"/>
      <c r="E757" s="282" t="n"/>
      <c r="F757" s="282" t="n"/>
      <c r="G757" s="94" t="n"/>
      <c r="H757" s="94" t="n"/>
      <c r="I757" s="94" t="n"/>
      <c r="J757" s="94" t="n"/>
      <c r="K757" s="94" t="n"/>
      <c r="L757" s="94" t="n"/>
    </row>
    <row r="758" ht="13.5" customHeight="1">
      <c r="A758" s="94" t="n"/>
      <c r="B758" s="94" t="n"/>
      <c r="C758" s="94" t="n"/>
      <c r="D758" s="94" t="n"/>
      <c r="E758" s="282" t="n"/>
      <c r="F758" s="282" t="n"/>
      <c r="G758" s="94" t="n"/>
      <c r="H758" s="94" t="n"/>
      <c r="I758" s="94" t="n"/>
      <c r="J758" s="94" t="n"/>
      <c r="K758" s="94" t="n"/>
      <c r="L758" s="94" t="n"/>
    </row>
    <row r="759" ht="13.5" customHeight="1">
      <c r="A759" s="94" t="n"/>
      <c r="B759" s="94" t="n"/>
      <c r="C759" s="94" t="n"/>
      <c r="D759" s="94" t="n"/>
      <c r="E759" s="282" t="n"/>
      <c r="F759" s="282" t="n"/>
      <c r="G759" s="94" t="n"/>
      <c r="H759" s="94" t="n"/>
      <c r="I759" s="94" t="n"/>
      <c r="J759" s="94" t="n"/>
      <c r="K759" s="94" t="n"/>
      <c r="L759" s="94" t="n"/>
    </row>
    <row r="760" ht="13.5" customHeight="1">
      <c r="A760" s="94" t="n"/>
      <c r="B760" s="94" t="n"/>
      <c r="C760" s="94" t="n"/>
      <c r="D760" s="94" t="n"/>
      <c r="E760" s="282" t="n"/>
      <c r="F760" s="282" t="n"/>
      <c r="G760" s="94" t="n"/>
      <c r="H760" s="94" t="n"/>
      <c r="I760" s="94" t="n"/>
      <c r="J760" s="94" t="n"/>
      <c r="K760" s="94" t="n"/>
      <c r="L760" s="94" t="n"/>
    </row>
    <row r="761" ht="13.5" customHeight="1">
      <c r="A761" s="94" t="n"/>
      <c r="B761" s="94" t="n"/>
      <c r="C761" s="94" t="n"/>
      <c r="D761" s="94" t="n"/>
      <c r="E761" s="282" t="n"/>
      <c r="F761" s="282" t="n"/>
      <c r="G761" s="94" t="n"/>
      <c r="H761" s="94" t="n"/>
      <c r="I761" s="94" t="n"/>
      <c r="J761" s="94" t="n"/>
      <c r="K761" s="94" t="n"/>
      <c r="L761" s="94" t="n"/>
    </row>
    <row r="762" ht="13.5" customHeight="1">
      <c r="A762" s="94" t="n"/>
      <c r="B762" s="94" t="n"/>
      <c r="C762" s="94" t="n"/>
      <c r="D762" s="94" t="n"/>
      <c r="E762" s="282" t="n"/>
      <c r="F762" s="282" t="n"/>
      <c r="G762" s="94" t="n"/>
      <c r="H762" s="94" t="n"/>
      <c r="I762" s="94" t="n"/>
      <c r="J762" s="94" t="n"/>
      <c r="K762" s="94" t="n"/>
      <c r="L762" s="94" t="n"/>
    </row>
    <row r="763" ht="13.5" customHeight="1">
      <c r="A763" s="94" t="n"/>
      <c r="B763" s="94" t="n"/>
      <c r="C763" s="94" t="n"/>
      <c r="D763" s="94" t="n"/>
      <c r="E763" s="282" t="n"/>
      <c r="F763" s="282" t="n"/>
      <c r="G763" s="94" t="n"/>
      <c r="H763" s="94" t="n"/>
      <c r="I763" s="94" t="n"/>
      <c r="J763" s="94" t="n"/>
      <c r="K763" s="94" t="n"/>
      <c r="L763" s="94" t="n"/>
    </row>
    <row r="764" ht="13.5" customHeight="1">
      <c r="A764" s="94" t="n"/>
      <c r="B764" s="94" t="n"/>
      <c r="C764" s="94" t="n"/>
      <c r="D764" s="94" t="n"/>
      <c r="E764" s="282" t="n"/>
      <c r="F764" s="282" t="n"/>
      <c r="G764" s="94" t="n"/>
      <c r="H764" s="94" t="n"/>
      <c r="I764" s="94" t="n"/>
      <c r="J764" s="94" t="n"/>
      <c r="K764" s="94" t="n"/>
      <c r="L764" s="94" t="n"/>
    </row>
    <row r="765" ht="13.5" customHeight="1">
      <c r="A765" s="94" t="n"/>
      <c r="B765" s="94" t="n"/>
      <c r="C765" s="94" t="n"/>
      <c r="D765" s="94" t="n"/>
      <c r="E765" s="282" t="n"/>
      <c r="F765" s="282" t="n"/>
      <c r="G765" s="94" t="n"/>
      <c r="H765" s="94" t="n"/>
      <c r="I765" s="94" t="n"/>
      <c r="J765" s="94" t="n"/>
      <c r="K765" s="94" t="n"/>
      <c r="L765" s="94" t="n"/>
    </row>
    <row r="766" ht="13.5" customHeight="1">
      <c r="A766" s="94" t="n"/>
      <c r="B766" s="94" t="n"/>
      <c r="C766" s="94" t="n"/>
      <c r="D766" s="94" t="n"/>
      <c r="E766" s="282" t="n"/>
      <c r="F766" s="282" t="n"/>
      <c r="G766" s="94" t="n"/>
      <c r="H766" s="94" t="n"/>
      <c r="I766" s="94" t="n"/>
      <c r="J766" s="94" t="n"/>
      <c r="K766" s="94" t="n"/>
      <c r="L766" s="94" t="n"/>
    </row>
    <row r="767" ht="13.5" customHeight="1">
      <c r="A767" s="94" t="n"/>
      <c r="B767" s="94" t="n"/>
      <c r="C767" s="94" t="n"/>
      <c r="D767" s="94" t="n"/>
      <c r="E767" s="282" t="n"/>
      <c r="F767" s="282" t="n"/>
      <c r="G767" s="94" t="n"/>
      <c r="H767" s="94" t="n"/>
      <c r="I767" s="94" t="n"/>
      <c r="J767" s="94" t="n"/>
      <c r="K767" s="94" t="n"/>
      <c r="L767" s="94" t="n"/>
    </row>
    <row r="768" ht="13.5" customHeight="1">
      <c r="A768" s="94" t="n"/>
      <c r="B768" s="94" t="n"/>
      <c r="C768" s="94" t="n"/>
      <c r="D768" s="94" t="n"/>
      <c r="E768" s="282" t="n"/>
      <c r="F768" s="282" t="n"/>
      <c r="G768" s="94" t="n"/>
      <c r="H768" s="94" t="n"/>
      <c r="I768" s="94" t="n"/>
      <c r="J768" s="94" t="n"/>
      <c r="K768" s="94" t="n"/>
      <c r="L768" s="94" t="n"/>
    </row>
    <row r="769" ht="13.5" customHeight="1">
      <c r="A769" s="94" t="n"/>
      <c r="B769" s="94" t="n"/>
      <c r="C769" s="94" t="n"/>
      <c r="D769" s="94" t="n"/>
      <c r="E769" s="282" t="n"/>
      <c r="F769" s="282" t="n"/>
      <c r="G769" s="94" t="n"/>
      <c r="H769" s="94" t="n"/>
      <c r="I769" s="94" t="n"/>
      <c r="J769" s="94" t="n"/>
      <c r="K769" s="94" t="n"/>
      <c r="L769" s="94" t="n"/>
    </row>
    <row r="770" ht="13.5" customHeight="1">
      <c r="A770" s="94" t="n"/>
      <c r="B770" s="94" t="n"/>
      <c r="C770" s="94" t="n"/>
      <c r="D770" s="94" t="n"/>
      <c r="E770" s="282" t="n"/>
      <c r="F770" s="282" t="n"/>
      <c r="G770" s="94" t="n"/>
      <c r="H770" s="94" t="n"/>
      <c r="I770" s="94" t="n"/>
      <c r="J770" s="94" t="n"/>
      <c r="K770" s="94" t="n"/>
      <c r="L770" s="94" t="n"/>
    </row>
    <row r="771" ht="13.5" customHeight="1">
      <c r="A771" s="94" t="n"/>
      <c r="B771" s="94" t="n"/>
      <c r="C771" s="94" t="n"/>
      <c r="D771" s="94" t="n"/>
      <c r="E771" s="282" t="n"/>
      <c r="F771" s="282" t="n"/>
      <c r="G771" s="94" t="n"/>
      <c r="H771" s="94" t="n"/>
      <c r="I771" s="94" t="n"/>
      <c r="J771" s="94" t="n"/>
      <c r="K771" s="94" t="n"/>
      <c r="L771" s="94" t="n"/>
    </row>
    <row r="772" ht="13.5" customHeight="1">
      <c r="A772" s="94" t="n"/>
      <c r="B772" s="94" t="n"/>
      <c r="C772" s="94" t="n"/>
      <c r="D772" s="94" t="n"/>
      <c r="E772" s="282" t="n"/>
      <c r="F772" s="282" t="n"/>
      <c r="G772" s="94" t="n"/>
      <c r="H772" s="94" t="n"/>
      <c r="I772" s="94" t="n"/>
      <c r="J772" s="94" t="n"/>
      <c r="K772" s="94" t="n"/>
      <c r="L772" s="94" t="n"/>
    </row>
    <row r="773" ht="13.5" customHeight="1">
      <c r="A773" s="94" t="n"/>
      <c r="B773" s="94" t="n"/>
      <c r="C773" s="94" t="n"/>
      <c r="D773" s="94" t="n"/>
      <c r="E773" s="282" t="n"/>
      <c r="F773" s="282" t="n"/>
      <c r="G773" s="94" t="n"/>
      <c r="H773" s="94" t="n"/>
      <c r="I773" s="94" t="n"/>
      <c r="J773" s="94" t="n"/>
      <c r="K773" s="94" t="n"/>
      <c r="L773" s="94" t="n"/>
    </row>
    <row r="774" ht="13.5" customHeight="1">
      <c r="A774" s="94" t="n"/>
      <c r="B774" s="94" t="n"/>
      <c r="C774" s="94" t="n"/>
      <c r="D774" s="94" t="n"/>
      <c r="E774" s="282" t="n"/>
      <c r="F774" s="282" t="n"/>
      <c r="G774" s="94" t="n"/>
      <c r="H774" s="94" t="n"/>
      <c r="I774" s="94" t="n"/>
      <c r="J774" s="94" t="n"/>
      <c r="K774" s="94" t="n"/>
      <c r="L774" s="94" t="n"/>
    </row>
    <row r="775" ht="13.5" customHeight="1">
      <c r="A775" s="94" t="n"/>
      <c r="B775" s="94" t="n"/>
      <c r="C775" s="94" t="n"/>
      <c r="D775" s="94" t="n"/>
      <c r="E775" s="282" t="n"/>
      <c r="F775" s="282" t="n"/>
      <c r="G775" s="94" t="n"/>
      <c r="H775" s="94" t="n"/>
      <c r="I775" s="94" t="n"/>
      <c r="J775" s="94" t="n"/>
      <c r="K775" s="94" t="n"/>
      <c r="L775" s="94" t="n"/>
    </row>
    <row r="776" ht="13.5" customHeight="1">
      <c r="A776" s="94" t="n"/>
      <c r="B776" s="94" t="n"/>
      <c r="C776" s="94" t="n"/>
      <c r="D776" s="94" t="n"/>
      <c r="E776" s="282" t="n"/>
      <c r="F776" s="282" t="n"/>
      <c r="G776" s="94" t="n"/>
      <c r="H776" s="94" t="n"/>
      <c r="I776" s="94" t="n"/>
      <c r="J776" s="94" t="n"/>
      <c r="K776" s="94" t="n"/>
      <c r="L776" s="94" t="n"/>
    </row>
    <row r="777" ht="13.5" customHeight="1">
      <c r="A777" s="94" t="n"/>
      <c r="B777" s="94" t="n"/>
      <c r="C777" s="94" t="n"/>
      <c r="D777" s="94" t="n"/>
      <c r="E777" s="282" t="n"/>
      <c r="F777" s="282" t="n"/>
      <c r="G777" s="94" t="n"/>
      <c r="H777" s="94" t="n"/>
      <c r="I777" s="94" t="n"/>
      <c r="J777" s="94" t="n"/>
      <c r="K777" s="94" t="n"/>
      <c r="L777" s="94" t="n"/>
    </row>
    <row r="778" ht="13.5" customHeight="1">
      <c r="A778" s="94" t="n"/>
      <c r="B778" s="94" t="n"/>
      <c r="C778" s="94" t="n"/>
      <c r="D778" s="94" t="n"/>
      <c r="E778" s="282" t="n"/>
      <c r="F778" s="282" t="n"/>
      <c r="G778" s="94" t="n"/>
      <c r="H778" s="94" t="n"/>
      <c r="I778" s="94" t="n"/>
      <c r="J778" s="94" t="n"/>
      <c r="K778" s="94" t="n"/>
      <c r="L778" s="94" t="n"/>
    </row>
    <row r="779" ht="13.5" customHeight="1">
      <c r="A779" s="94" t="n"/>
      <c r="B779" s="94" t="n"/>
      <c r="C779" s="94" t="n"/>
      <c r="D779" s="94" t="n"/>
      <c r="E779" s="282" t="n"/>
      <c r="F779" s="282" t="n"/>
      <c r="G779" s="94" t="n"/>
      <c r="H779" s="94" t="n"/>
      <c r="I779" s="94" t="n"/>
      <c r="J779" s="94" t="n"/>
      <c r="K779" s="94" t="n"/>
      <c r="L779" s="94" t="n"/>
    </row>
    <row r="780" ht="13.5" customHeight="1">
      <c r="A780" s="94" t="n"/>
      <c r="B780" s="94" t="n"/>
      <c r="C780" s="94" t="n"/>
      <c r="D780" s="94" t="n"/>
      <c r="E780" s="282" t="n"/>
      <c r="F780" s="282" t="n"/>
      <c r="G780" s="94" t="n"/>
      <c r="H780" s="94" t="n"/>
      <c r="I780" s="94" t="n"/>
      <c r="J780" s="94" t="n"/>
      <c r="K780" s="94" t="n"/>
      <c r="L780" s="94" t="n"/>
    </row>
    <row r="781" ht="13.5" customHeight="1">
      <c r="A781" s="94" t="n"/>
      <c r="B781" s="94" t="n"/>
      <c r="C781" s="94" t="n"/>
      <c r="D781" s="94" t="n"/>
      <c r="E781" s="282" t="n"/>
      <c r="F781" s="282" t="n"/>
      <c r="G781" s="94" t="n"/>
      <c r="H781" s="94" t="n"/>
      <c r="I781" s="94" t="n"/>
      <c r="J781" s="94" t="n"/>
      <c r="K781" s="94" t="n"/>
      <c r="L781" s="94" t="n"/>
    </row>
    <row r="782" ht="13.5" customHeight="1">
      <c r="A782" s="94" t="n"/>
      <c r="B782" s="94" t="n"/>
      <c r="C782" s="94" t="n"/>
      <c r="D782" s="94" t="n"/>
      <c r="E782" s="282" t="n"/>
      <c r="F782" s="282" t="n"/>
      <c r="G782" s="94" t="n"/>
      <c r="H782" s="94" t="n"/>
      <c r="I782" s="94" t="n"/>
      <c r="J782" s="94" t="n"/>
      <c r="K782" s="94" t="n"/>
      <c r="L782" s="94" t="n"/>
    </row>
    <row r="783" ht="13.5" customHeight="1">
      <c r="A783" s="94" t="n"/>
      <c r="B783" s="94" t="n"/>
      <c r="C783" s="94" t="n"/>
      <c r="D783" s="94" t="n"/>
      <c r="E783" s="282" t="n"/>
      <c r="F783" s="282" t="n"/>
      <c r="G783" s="94" t="n"/>
      <c r="H783" s="94" t="n"/>
      <c r="I783" s="94" t="n"/>
      <c r="J783" s="94" t="n"/>
      <c r="K783" s="94" t="n"/>
      <c r="L783" s="94" t="n"/>
    </row>
    <row r="784" ht="13.5" customHeight="1">
      <c r="A784" s="94" t="n"/>
      <c r="B784" s="94" t="n"/>
      <c r="C784" s="94" t="n"/>
      <c r="D784" s="94" t="n"/>
      <c r="E784" s="282" t="n"/>
      <c r="F784" s="282" t="n"/>
      <c r="G784" s="94" t="n"/>
      <c r="H784" s="94" t="n"/>
      <c r="I784" s="94" t="n"/>
      <c r="J784" s="94" t="n"/>
      <c r="K784" s="94" t="n"/>
      <c r="L784" s="94" t="n"/>
    </row>
    <row r="785" ht="13.5" customHeight="1">
      <c r="A785" s="94" t="n"/>
      <c r="B785" s="94" t="n"/>
      <c r="C785" s="94" t="n"/>
      <c r="D785" s="94" t="n"/>
      <c r="E785" s="282" t="n"/>
      <c r="F785" s="282" t="n"/>
      <c r="G785" s="94" t="n"/>
      <c r="H785" s="94" t="n"/>
      <c r="I785" s="94" t="n"/>
      <c r="J785" s="94" t="n"/>
      <c r="K785" s="94" t="n"/>
      <c r="L785" s="94" t="n"/>
    </row>
    <row r="786" ht="13.5" customHeight="1">
      <c r="A786" s="94" t="n"/>
      <c r="B786" s="94" t="n"/>
      <c r="C786" s="94" t="n"/>
      <c r="D786" s="94" t="n"/>
      <c r="E786" s="282" t="n"/>
      <c r="F786" s="282" t="n"/>
      <c r="G786" s="94" t="n"/>
      <c r="H786" s="94" t="n"/>
      <c r="I786" s="94" t="n"/>
      <c r="J786" s="94" t="n"/>
      <c r="K786" s="94" t="n"/>
      <c r="L786" s="94" t="n"/>
    </row>
    <row r="787" ht="13.5" customHeight="1">
      <c r="A787" s="94" t="n"/>
      <c r="B787" s="94" t="n"/>
      <c r="C787" s="94" t="n"/>
      <c r="D787" s="94" t="n"/>
      <c r="E787" s="282" t="n"/>
      <c r="F787" s="282" t="n"/>
      <c r="G787" s="94" t="n"/>
      <c r="H787" s="94" t="n"/>
      <c r="I787" s="94" t="n"/>
      <c r="J787" s="94" t="n"/>
      <c r="K787" s="94" t="n"/>
      <c r="L787" s="94" t="n"/>
    </row>
    <row r="788" ht="13.5" customHeight="1">
      <c r="A788" s="94" t="n"/>
      <c r="B788" s="94" t="n"/>
      <c r="C788" s="94" t="n"/>
      <c r="D788" s="94" t="n"/>
      <c r="E788" s="282" t="n"/>
      <c r="F788" s="282" t="n"/>
      <c r="G788" s="94" t="n"/>
      <c r="H788" s="94" t="n"/>
      <c r="I788" s="94" t="n"/>
      <c r="J788" s="94" t="n"/>
      <c r="K788" s="94" t="n"/>
      <c r="L788" s="94" t="n"/>
    </row>
    <row r="789" ht="13.5" customHeight="1">
      <c r="A789" s="94" t="n"/>
      <c r="B789" s="94" t="n"/>
      <c r="C789" s="94" t="n"/>
      <c r="D789" s="94" t="n"/>
      <c r="E789" s="282" t="n"/>
      <c r="F789" s="282" t="n"/>
      <c r="G789" s="94" t="n"/>
      <c r="H789" s="94" t="n"/>
      <c r="I789" s="94" t="n"/>
      <c r="J789" s="94" t="n"/>
      <c r="K789" s="94" t="n"/>
      <c r="L789" s="94" t="n"/>
    </row>
    <row r="790" ht="13.5" customHeight="1">
      <c r="A790" s="94" t="n"/>
      <c r="B790" s="94" t="n"/>
      <c r="C790" s="94" t="n"/>
      <c r="D790" s="94" t="n"/>
      <c r="E790" s="282" t="n"/>
      <c r="F790" s="282" t="n"/>
      <c r="G790" s="94" t="n"/>
      <c r="H790" s="94" t="n"/>
      <c r="I790" s="94" t="n"/>
      <c r="J790" s="94" t="n"/>
      <c r="K790" s="94" t="n"/>
      <c r="L790" s="94" t="n"/>
    </row>
    <row r="791" ht="13.5" customHeight="1">
      <c r="A791" s="94" t="n"/>
      <c r="B791" s="94" t="n"/>
      <c r="C791" s="94" t="n"/>
      <c r="D791" s="94" t="n"/>
      <c r="E791" s="282" t="n"/>
      <c r="F791" s="282" t="n"/>
      <c r="G791" s="94" t="n"/>
      <c r="H791" s="94" t="n"/>
      <c r="I791" s="94" t="n"/>
      <c r="J791" s="94" t="n"/>
      <c r="K791" s="94" t="n"/>
      <c r="L791" s="94" t="n"/>
    </row>
    <row r="792" ht="13.5" customHeight="1">
      <c r="A792" s="94" t="n"/>
      <c r="B792" s="94" t="n"/>
      <c r="C792" s="94" t="n"/>
      <c r="D792" s="94" t="n"/>
      <c r="E792" s="282" t="n"/>
      <c r="F792" s="282" t="n"/>
      <c r="G792" s="94" t="n"/>
      <c r="H792" s="94" t="n"/>
      <c r="I792" s="94" t="n"/>
      <c r="J792" s="94" t="n"/>
      <c r="K792" s="94" t="n"/>
      <c r="L792" s="94" t="n"/>
    </row>
    <row r="793" ht="13.5" customHeight="1">
      <c r="A793" s="94" t="n"/>
      <c r="B793" s="94" t="n"/>
      <c r="C793" s="94" t="n"/>
      <c r="D793" s="94" t="n"/>
      <c r="E793" s="282" t="n"/>
      <c r="F793" s="282" t="n"/>
      <c r="G793" s="94" t="n"/>
      <c r="H793" s="94" t="n"/>
      <c r="I793" s="94" t="n"/>
      <c r="J793" s="94" t="n"/>
      <c r="K793" s="94" t="n"/>
      <c r="L793" s="94" t="n"/>
    </row>
    <row r="794" ht="13.5" customHeight="1">
      <c r="A794" s="94" t="n"/>
      <c r="B794" s="94" t="n"/>
      <c r="C794" s="94" t="n"/>
      <c r="D794" s="94" t="n"/>
      <c r="E794" s="282" t="n"/>
      <c r="F794" s="282" t="n"/>
      <c r="G794" s="94" t="n"/>
      <c r="H794" s="94" t="n"/>
      <c r="I794" s="94" t="n"/>
      <c r="J794" s="94" t="n"/>
      <c r="K794" s="94" t="n"/>
      <c r="L794" s="94" t="n"/>
    </row>
    <row r="795" ht="13.5" customHeight="1">
      <c r="A795" s="94" t="n"/>
      <c r="B795" s="94" t="n"/>
      <c r="C795" s="94" t="n"/>
      <c r="D795" s="94" t="n"/>
      <c r="E795" s="282" t="n"/>
      <c r="F795" s="282" t="n"/>
      <c r="G795" s="94" t="n"/>
      <c r="H795" s="94" t="n"/>
      <c r="I795" s="94" t="n"/>
      <c r="J795" s="94" t="n"/>
      <c r="K795" s="94" t="n"/>
      <c r="L795" s="94" t="n"/>
    </row>
    <row r="796" ht="13.5" customHeight="1">
      <c r="A796" s="94" t="n"/>
      <c r="B796" s="94" t="n"/>
      <c r="C796" s="94" t="n"/>
      <c r="D796" s="94" t="n"/>
      <c r="E796" s="282" t="n"/>
      <c r="F796" s="282" t="n"/>
      <c r="G796" s="94" t="n"/>
      <c r="H796" s="94" t="n"/>
      <c r="I796" s="94" t="n"/>
      <c r="J796" s="94" t="n"/>
      <c r="K796" s="94" t="n"/>
      <c r="L796" s="94" t="n"/>
    </row>
    <row r="797" ht="13.5" customHeight="1">
      <c r="A797" s="94" t="n"/>
      <c r="B797" s="94" t="n"/>
      <c r="C797" s="94" t="n"/>
      <c r="D797" s="94" t="n"/>
      <c r="E797" s="282" t="n"/>
      <c r="F797" s="282" t="n"/>
      <c r="G797" s="94" t="n"/>
      <c r="H797" s="94" t="n"/>
      <c r="I797" s="94" t="n"/>
      <c r="J797" s="94" t="n"/>
      <c r="K797" s="94" t="n"/>
      <c r="L797" s="94" t="n"/>
    </row>
    <row r="798" ht="13.5" customHeight="1">
      <c r="A798" s="94" t="n"/>
      <c r="B798" s="94" t="n"/>
      <c r="C798" s="94" t="n"/>
      <c r="D798" s="94" t="n"/>
      <c r="E798" s="282" t="n"/>
      <c r="F798" s="282" t="n"/>
      <c r="G798" s="94" t="n"/>
      <c r="H798" s="94" t="n"/>
      <c r="I798" s="94" t="n"/>
      <c r="J798" s="94" t="n"/>
      <c r="K798" s="94" t="n"/>
      <c r="L798" s="94" t="n"/>
    </row>
    <row r="799" ht="13.5" customHeight="1">
      <c r="A799" s="94" t="n"/>
      <c r="B799" s="94" t="n"/>
      <c r="C799" s="94" t="n"/>
      <c r="D799" s="94" t="n"/>
      <c r="E799" s="282" t="n"/>
      <c r="F799" s="282" t="n"/>
      <c r="G799" s="94" t="n"/>
      <c r="H799" s="94" t="n"/>
      <c r="I799" s="94" t="n"/>
      <c r="J799" s="94" t="n"/>
      <c r="K799" s="94" t="n"/>
      <c r="L799" s="94" t="n"/>
    </row>
    <row r="800" ht="13.5" customHeight="1">
      <c r="A800" s="94" t="n"/>
      <c r="B800" s="94" t="n"/>
      <c r="C800" s="94" t="n"/>
      <c r="D800" s="94" t="n"/>
      <c r="E800" s="282" t="n"/>
      <c r="F800" s="282" t="n"/>
      <c r="G800" s="94" t="n"/>
      <c r="H800" s="94" t="n"/>
      <c r="I800" s="94" t="n"/>
      <c r="J800" s="94" t="n"/>
      <c r="K800" s="94" t="n"/>
      <c r="L800" s="94" t="n"/>
    </row>
    <row r="801" ht="13.5" customHeight="1">
      <c r="A801" s="94" t="n"/>
      <c r="B801" s="94" t="n"/>
      <c r="C801" s="94" t="n"/>
      <c r="D801" s="94" t="n"/>
      <c r="E801" s="282" t="n"/>
      <c r="F801" s="282" t="n"/>
      <c r="G801" s="94" t="n"/>
      <c r="H801" s="94" t="n"/>
      <c r="I801" s="94" t="n"/>
      <c r="J801" s="94" t="n"/>
      <c r="K801" s="94" t="n"/>
      <c r="L801" s="94" t="n"/>
    </row>
    <row r="802" ht="13.5" customHeight="1">
      <c r="A802" s="94" t="n"/>
      <c r="B802" s="94" t="n"/>
      <c r="C802" s="94" t="n"/>
      <c r="D802" s="94" t="n"/>
      <c r="E802" s="282" t="n"/>
      <c r="F802" s="282" t="n"/>
      <c r="G802" s="94" t="n"/>
      <c r="H802" s="94" t="n"/>
      <c r="I802" s="94" t="n"/>
      <c r="J802" s="94" t="n"/>
      <c r="K802" s="94" t="n"/>
      <c r="L802" s="94" t="n"/>
    </row>
    <row r="803" ht="13.5" customHeight="1">
      <c r="A803" s="94" t="n"/>
      <c r="B803" s="94" t="n"/>
      <c r="C803" s="94" t="n"/>
      <c r="D803" s="94" t="n"/>
      <c r="E803" s="282" t="n"/>
      <c r="F803" s="282" t="n"/>
      <c r="G803" s="94" t="n"/>
      <c r="H803" s="94" t="n"/>
      <c r="I803" s="94" t="n"/>
      <c r="J803" s="94" t="n"/>
      <c r="K803" s="94" t="n"/>
      <c r="L803" s="94" t="n"/>
    </row>
    <row r="804" ht="13.5" customHeight="1">
      <c r="A804" s="94" t="n"/>
      <c r="B804" s="94" t="n"/>
      <c r="C804" s="94" t="n"/>
      <c r="D804" s="94" t="n"/>
      <c r="E804" s="282" t="n"/>
      <c r="F804" s="282" t="n"/>
      <c r="G804" s="94" t="n"/>
      <c r="H804" s="94" t="n"/>
      <c r="I804" s="94" t="n"/>
      <c r="J804" s="94" t="n"/>
      <c r="K804" s="94" t="n"/>
      <c r="L804" s="94" t="n"/>
    </row>
    <row r="805" ht="13.5" customHeight="1">
      <c r="A805" s="94" t="n"/>
      <c r="B805" s="94" t="n"/>
      <c r="C805" s="94" t="n"/>
      <c r="D805" s="94" t="n"/>
      <c r="E805" s="282" t="n"/>
      <c r="F805" s="282" t="n"/>
      <c r="G805" s="94" t="n"/>
      <c r="H805" s="94" t="n"/>
      <c r="I805" s="94" t="n"/>
      <c r="J805" s="94" t="n"/>
      <c r="K805" s="94" t="n"/>
      <c r="L805" s="94" t="n"/>
    </row>
    <row r="806" ht="13.5" customHeight="1">
      <c r="A806" s="94" t="n"/>
      <c r="B806" s="94" t="n"/>
      <c r="C806" s="94" t="n"/>
      <c r="D806" s="94" t="n"/>
      <c r="E806" s="282" t="n"/>
      <c r="F806" s="282" t="n"/>
      <c r="G806" s="94" t="n"/>
      <c r="H806" s="94" t="n"/>
      <c r="I806" s="94" t="n"/>
      <c r="J806" s="94" t="n"/>
      <c r="K806" s="94" t="n"/>
      <c r="L806" s="94" t="n"/>
    </row>
    <row r="807" ht="13.5" customHeight="1">
      <c r="A807" s="94" t="n"/>
      <c r="B807" s="94" t="n"/>
      <c r="C807" s="94" t="n"/>
      <c r="D807" s="94" t="n"/>
      <c r="E807" s="282" t="n"/>
      <c r="F807" s="282" t="n"/>
      <c r="G807" s="94" t="n"/>
      <c r="H807" s="94" t="n"/>
      <c r="I807" s="94" t="n"/>
      <c r="J807" s="94" t="n"/>
      <c r="K807" s="94" t="n"/>
      <c r="L807" s="94" t="n"/>
    </row>
    <row r="808" ht="13.5" customHeight="1">
      <c r="A808" s="94" t="n"/>
      <c r="B808" s="94" t="n"/>
      <c r="C808" s="94" t="n"/>
      <c r="D808" s="94" t="n"/>
      <c r="E808" s="282" t="n"/>
      <c r="F808" s="282" t="n"/>
      <c r="G808" s="94" t="n"/>
      <c r="H808" s="94" t="n"/>
      <c r="I808" s="94" t="n"/>
      <c r="J808" s="94" t="n"/>
      <c r="K808" s="94" t="n"/>
      <c r="L808" s="94" t="n"/>
    </row>
    <row r="809" ht="13.5" customHeight="1">
      <c r="A809" s="94" t="n"/>
      <c r="B809" s="94" t="n"/>
      <c r="C809" s="94" t="n"/>
      <c r="D809" s="94" t="n"/>
      <c r="E809" s="282" t="n"/>
      <c r="F809" s="282" t="n"/>
      <c r="G809" s="94" t="n"/>
      <c r="H809" s="94" t="n"/>
      <c r="I809" s="94" t="n"/>
      <c r="J809" s="94" t="n"/>
      <c r="K809" s="94" t="n"/>
      <c r="L809" s="94" t="n"/>
    </row>
    <row r="810" ht="13.5" customHeight="1">
      <c r="A810" s="94" t="n"/>
      <c r="B810" s="94" t="n"/>
      <c r="C810" s="94" t="n"/>
      <c r="D810" s="94" t="n"/>
      <c r="E810" s="282" t="n"/>
      <c r="F810" s="282" t="n"/>
      <c r="G810" s="94" t="n"/>
      <c r="H810" s="94" t="n"/>
      <c r="I810" s="94" t="n"/>
      <c r="J810" s="94" t="n"/>
      <c r="K810" s="94" t="n"/>
      <c r="L810" s="94" t="n"/>
    </row>
    <row r="811" ht="13.5" customHeight="1">
      <c r="A811" s="94" t="n"/>
      <c r="B811" s="94" t="n"/>
      <c r="C811" s="94" t="n"/>
      <c r="D811" s="94" t="n"/>
      <c r="E811" s="282" t="n"/>
      <c r="F811" s="282" t="n"/>
      <c r="G811" s="94" t="n"/>
      <c r="H811" s="94" t="n"/>
      <c r="I811" s="94" t="n"/>
      <c r="J811" s="94" t="n"/>
      <c r="K811" s="94" t="n"/>
      <c r="L811" s="94" t="n"/>
    </row>
    <row r="812" ht="13.5" customHeight="1">
      <c r="A812" s="94" t="n"/>
      <c r="B812" s="94" t="n"/>
      <c r="C812" s="94" t="n"/>
      <c r="D812" s="94" t="n"/>
      <c r="E812" s="282" t="n"/>
      <c r="F812" s="282" t="n"/>
      <c r="G812" s="94" t="n"/>
      <c r="H812" s="94" t="n"/>
      <c r="I812" s="94" t="n"/>
      <c r="J812" s="94" t="n"/>
      <c r="K812" s="94" t="n"/>
      <c r="L812" s="94" t="n"/>
    </row>
    <row r="813" ht="13.5" customHeight="1">
      <c r="A813" s="94" t="n"/>
      <c r="B813" s="94" t="n"/>
      <c r="C813" s="94" t="n"/>
      <c r="D813" s="94" t="n"/>
      <c r="E813" s="282" t="n"/>
      <c r="F813" s="282" t="n"/>
      <c r="G813" s="94" t="n"/>
      <c r="H813" s="94" t="n"/>
      <c r="I813" s="94" t="n"/>
      <c r="J813" s="94" t="n"/>
      <c r="K813" s="94" t="n"/>
      <c r="L813" s="94" t="n"/>
    </row>
    <row r="814" ht="13.5" customHeight="1">
      <c r="A814" s="94" t="n"/>
      <c r="B814" s="94" t="n"/>
      <c r="C814" s="94" t="n"/>
      <c r="D814" s="94" t="n"/>
      <c r="E814" s="282" t="n"/>
      <c r="F814" s="282" t="n"/>
      <c r="G814" s="94" t="n"/>
      <c r="H814" s="94" t="n"/>
      <c r="I814" s="94" t="n"/>
      <c r="J814" s="94" t="n"/>
      <c r="K814" s="94" t="n"/>
      <c r="L814" s="94" t="n"/>
    </row>
    <row r="815" ht="13.5" customHeight="1">
      <c r="A815" s="94" t="n"/>
      <c r="B815" s="94" t="n"/>
      <c r="C815" s="94" t="n"/>
      <c r="D815" s="94" t="n"/>
      <c r="E815" s="282" t="n"/>
      <c r="F815" s="282" t="n"/>
      <c r="G815" s="94" t="n"/>
      <c r="H815" s="94" t="n"/>
      <c r="I815" s="94" t="n"/>
      <c r="J815" s="94" t="n"/>
      <c r="K815" s="94" t="n"/>
      <c r="L815" s="94" t="n"/>
    </row>
    <row r="816" ht="13.5" customHeight="1">
      <c r="A816" s="94" t="n"/>
      <c r="B816" s="94" t="n"/>
      <c r="C816" s="94" t="n"/>
      <c r="D816" s="94" t="n"/>
      <c r="E816" s="282" t="n"/>
      <c r="F816" s="282" t="n"/>
      <c r="G816" s="94" t="n"/>
      <c r="H816" s="94" t="n"/>
      <c r="I816" s="94" t="n"/>
      <c r="J816" s="94" t="n"/>
      <c r="K816" s="94" t="n"/>
      <c r="L816" s="94" t="n"/>
    </row>
    <row r="817" ht="13.5" customHeight="1">
      <c r="A817" s="94" t="n"/>
      <c r="B817" s="94" t="n"/>
      <c r="C817" s="94" t="n"/>
      <c r="D817" s="94" t="n"/>
      <c r="E817" s="282" t="n"/>
      <c r="F817" s="282" t="n"/>
      <c r="G817" s="94" t="n"/>
      <c r="H817" s="94" t="n"/>
      <c r="I817" s="94" t="n"/>
      <c r="J817" s="94" t="n"/>
      <c r="K817" s="94" t="n"/>
      <c r="L817" s="94" t="n"/>
    </row>
    <row r="818" ht="13.5" customHeight="1">
      <c r="A818" s="94" t="n"/>
      <c r="B818" s="94" t="n"/>
      <c r="C818" s="94" t="n"/>
      <c r="D818" s="94" t="n"/>
      <c r="E818" s="282" t="n"/>
      <c r="F818" s="282" t="n"/>
      <c r="G818" s="94" t="n"/>
      <c r="H818" s="94" t="n"/>
      <c r="I818" s="94" t="n"/>
      <c r="J818" s="94" t="n"/>
      <c r="K818" s="94" t="n"/>
      <c r="L818" s="94" t="n"/>
    </row>
    <row r="819" ht="13.5" customHeight="1">
      <c r="A819" s="94" t="n"/>
      <c r="B819" s="94" t="n"/>
      <c r="C819" s="94" t="n"/>
      <c r="D819" s="94" t="n"/>
      <c r="E819" s="282" t="n"/>
      <c r="F819" s="282" t="n"/>
      <c r="G819" s="94" t="n"/>
      <c r="H819" s="94" t="n"/>
      <c r="I819" s="94" t="n"/>
      <c r="J819" s="94" t="n"/>
      <c r="K819" s="94" t="n"/>
      <c r="L819" s="94" t="n"/>
    </row>
    <row r="820" ht="13.5" customHeight="1">
      <c r="A820" s="94" t="n"/>
      <c r="B820" s="94" t="n"/>
      <c r="C820" s="94" t="n"/>
      <c r="D820" s="94" t="n"/>
      <c r="E820" s="282" t="n"/>
      <c r="F820" s="282" t="n"/>
      <c r="G820" s="94" t="n"/>
      <c r="H820" s="94" t="n"/>
      <c r="I820" s="94" t="n"/>
      <c r="J820" s="94" t="n"/>
      <c r="K820" s="94" t="n"/>
      <c r="L820" s="94" t="n"/>
    </row>
    <row r="821" ht="13.5" customHeight="1">
      <c r="A821" s="94" t="n"/>
      <c r="B821" s="94" t="n"/>
      <c r="C821" s="94" t="n"/>
      <c r="D821" s="94" t="n"/>
      <c r="E821" s="282" t="n"/>
      <c r="F821" s="282" t="n"/>
      <c r="G821" s="94" t="n"/>
      <c r="H821" s="94" t="n"/>
      <c r="I821" s="94" t="n"/>
      <c r="J821" s="94" t="n"/>
      <c r="K821" s="94" t="n"/>
      <c r="L821" s="94" t="n"/>
    </row>
    <row r="822" ht="13.5" customHeight="1">
      <c r="A822" s="94" t="n"/>
      <c r="B822" s="94" t="n"/>
      <c r="C822" s="94" t="n"/>
      <c r="D822" s="94" t="n"/>
      <c r="E822" s="282" t="n"/>
      <c r="F822" s="282" t="n"/>
      <c r="G822" s="94" t="n"/>
      <c r="H822" s="94" t="n"/>
      <c r="I822" s="94" t="n"/>
      <c r="J822" s="94" t="n"/>
      <c r="K822" s="94" t="n"/>
      <c r="L822" s="94" t="n"/>
    </row>
    <row r="823" ht="13.5" customHeight="1">
      <c r="A823" s="94" t="n"/>
      <c r="B823" s="94" t="n"/>
      <c r="C823" s="94" t="n"/>
      <c r="D823" s="94" t="n"/>
      <c r="E823" s="282" t="n"/>
      <c r="F823" s="282" t="n"/>
      <c r="G823" s="94" t="n"/>
      <c r="H823" s="94" t="n"/>
      <c r="I823" s="94" t="n"/>
      <c r="J823" s="94" t="n"/>
      <c r="K823" s="94" t="n"/>
      <c r="L823" s="94" t="n"/>
    </row>
    <row r="824" ht="13.5" customHeight="1">
      <c r="A824" s="94" t="n"/>
      <c r="B824" s="94" t="n"/>
      <c r="C824" s="94" t="n"/>
      <c r="D824" s="94" t="n"/>
      <c r="E824" s="282" t="n"/>
      <c r="F824" s="282" t="n"/>
      <c r="G824" s="94" t="n"/>
      <c r="H824" s="94" t="n"/>
      <c r="I824" s="94" t="n"/>
      <c r="J824" s="94" t="n"/>
      <c r="K824" s="94" t="n"/>
      <c r="L824" s="94" t="n"/>
    </row>
    <row r="825" ht="13.5" customHeight="1">
      <c r="A825" s="94" t="n"/>
      <c r="B825" s="94" t="n"/>
      <c r="C825" s="94" t="n"/>
      <c r="D825" s="94" t="n"/>
      <c r="E825" s="282" t="n"/>
      <c r="F825" s="282" t="n"/>
      <c r="G825" s="94" t="n"/>
      <c r="H825" s="94" t="n"/>
      <c r="I825" s="94" t="n"/>
      <c r="J825" s="94" t="n"/>
      <c r="K825" s="94" t="n"/>
      <c r="L825" s="94" t="n"/>
    </row>
    <row r="826" ht="13.5" customHeight="1">
      <c r="A826" s="94" t="n"/>
      <c r="B826" s="94" t="n"/>
      <c r="C826" s="94" t="n"/>
      <c r="D826" s="94" t="n"/>
      <c r="E826" s="282" t="n"/>
      <c r="F826" s="282" t="n"/>
      <c r="G826" s="94" t="n"/>
      <c r="H826" s="94" t="n"/>
      <c r="I826" s="94" t="n"/>
      <c r="J826" s="94" t="n"/>
      <c r="K826" s="94" t="n"/>
      <c r="L826" s="94" t="n"/>
    </row>
    <row r="827" ht="13.5" customHeight="1">
      <c r="A827" s="94" t="n"/>
      <c r="B827" s="94" t="n"/>
      <c r="C827" s="94" t="n"/>
      <c r="D827" s="94" t="n"/>
      <c r="E827" s="282" t="n"/>
      <c r="F827" s="282" t="n"/>
      <c r="G827" s="94" t="n"/>
      <c r="H827" s="94" t="n"/>
      <c r="I827" s="94" t="n"/>
      <c r="J827" s="94" t="n"/>
      <c r="K827" s="94" t="n"/>
      <c r="L827" s="94" t="n"/>
    </row>
    <row r="828" ht="13.5" customHeight="1">
      <c r="A828" s="94" t="n"/>
      <c r="B828" s="94" t="n"/>
      <c r="C828" s="94" t="n"/>
      <c r="D828" s="94" t="n"/>
      <c r="E828" s="282" t="n"/>
      <c r="F828" s="282" t="n"/>
      <c r="G828" s="94" t="n"/>
      <c r="H828" s="94" t="n"/>
      <c r="I828" s="94" t="n"/>
      <c r="J828" s="94" t="n"/>
      <c r="K828" s="94" t="n"/>
      <c r="L828" s="94" t="n"/>
    </row>
    <row r="829" ht="13.5" customHeight="1">
      <c r="A829" s="94" t="n"/>
      <c r="B829" s="94" t="n"/>
      <c r="C829" s="94" t="n"/>
      <c r="D829" s="94" t="n"/>
      <c r="E829" s="282" t="n"/>
      <c r="F829" s="282" t="n"/>
      <c r="G829" s="94" t="n"/>
      <c r="H829" s="94" t="n"/>
      <c r="I829" s="94" t="n"/>
      <c r="J829" s="94" t="n"/>
      <c r="K829" s="94" t="n"/>
      <c r="L829" s="94" t="n"/>
    </row>
    <row r="830" ht="13.5" customHeight="1">
      <c r="A830" s="94" t="n"/>
      <c r="B830" s="94" t="n"/>
      <c r="C830" s="94" t="n"/>
      <c r="D830" s="94" t="n"/>
      <c r="E830" s="282" t="n"/>
      <c r="F830" s="282" t="n"/>
      <c r="G830" s="94" t="n"/>
      <c r="H830" s="94" t="n"/>
      <c r="I830" s="94" t="n"/>
      <c r="J830" s="94" t="n"/>
      <c r="K830" s="94" t="n"/>
      <c r="L830" s="94" t="n"/>
    </row>
    <row r="831" ht="13.5" customHeight="1">
      <c r="A831" s="94" t="n"/>
      <c r="B831" s="94" t="n"/>
      <c r="C831" s="94" t="n"/>
      <c r="D831" s="94" t="n"/>
      <c r="E831" s="282" t="n"/>
      <c r="F831" s="282" t="n"/>
      <c r="G831" s="94" t="n"/>
      <c r="H831" s="94" t="n"/>
      <c r="I831" s="94" t="n"/>
      <c r="J831" s="94" t="n"/>
      <c r="K831" s="94" t="n"/>
      <c r="L831" s="94" t="n"/>
    </row>
    <row r="832" ht="13.5" customHeight="1">
      <c r="A832" s="94" t="n"/>
      <c r="B832" s="94" t="n"/>
      <c r="C832" s="94" t="n"/>
      <c r="D832" s="94" t="n"/>
      <c r="E832" s="282" t="n"/>
      <c r="F832" s="282" t="n"/>
      <c r="G832" s="94" t="n"/>
      <c r="H832" s="94" t="n"/>
      <c r="I832" s="94" t="n"/>
      <c r="J832" s="94" t="n"/>
      <c r="K832" s="94" t="n"/>
      <c r="L832" s="94" t="n"/>
    </row>
    <row r="833" ht="13.5" customHeight="1">
      <c r="A833" s="94" t="n"/>
      <c r="B833" s="94" t="n"/>
      <c r="C833" s="94" t="n"/>
      <c r="D833" s="94" t="n"/>
      <c r="E833" s="282" t="n"/>
      <c r="F833" s="282" t="n"/>
      <c r="G833" s="94" t="n"/>
      <c r="H833" s="94" t="n"/>
      <c r="I833" s="94" t="n"/>
      <c r="J833" s="94" t="n"/>
      <c r="K833" s="94" t="n"/>
      <c r="L833" s="94" t="n"/>
    </row>
    <row r="834" ht="13.5" customHeight="1">
      <c r="A834" s="94" t="n"/>
      <c r="B834" s="94" t="n"/>
      <c r="C834" s="94" t="n"/>
      <c r="D834" s="94" t="n"/>
      <c r="E834" s="282" t="n"/>
      <c r="F834" s="282" t="n"/>
      <c r="G834" s="94" t="n"/>
      <c r="H834" s="94" t="n"/>
      <c r="I834" s="94" t="n"/>
      <c r="J834" s="94" t="n"/>
      <c r="K834" s="94" t="n"/>
      <c r="L834" s="94" t="n"/>
    </row>
    <row r="835" ht="13.5" customHeight="1">
      <c r="A835" s="94" t="n"/>
      <c r="B835" s="94" t="n"/>
      <c r="C835" s="94" t="n"/>
      <c r="D835" s="94" t="n"/>
      <c r="E835" s="282" t="n"/>
      <c r="F835" s="282" t="n"/>
      <c r="G835" s="94" t="n"/>
      <c r="H835" s="94" t="n"/>
      <c r="I835" s="94" t="n"/>
      <c r="J835" s="94" t="n"/>
      <c r="K835" s="94" t="n"/>
      <c r="L835" s="94" t="n"/>
    </row>
    <row r="836" ht="13.5" customHeight="1">
      <c r="A836" s="94" t="n"/>
      <c r="B836" s="94" t="n"/>
      <c r="C836" s="94" t="n"/>
      <c r="D836" s="94" t="n"/>
      <c r="E836" s="282" t="n"/>
      <c r="F836" s="282" t="n"/>
      <c r="G836" s="94" t="n"/>
      <c r="H836" s="94" t="n"/>
      <c r="I836" s="94" t="n"/>
      <c r="J836" s="94" t="n"/>
      <c r="K836" s="94" t="n"/>
      <c r="L836" s="94" t="n"/>
    </row>
    <row r="837" ht="13.5" customHeight="1">
      <c r="A837" s="94" t="n"/>
      <c r="B837" s="94" t="n"/>
      <c r="C837" s="94" t="n"/>
      <c r="D837" s="94" t="n"/>
      <c r="E837" s="282" t="n"/>
      <c r="F837" s="282" t="n"/>
      <c r="G837" s="94" t="n"/>
      <c r="H837" s="94" t="n"/>
      <c r="I837" s="94" t="n"/>
      <c r="J837" s="94" t="n"/>
      <c r="K837" s="94" t="n"/>
      <c r="L837" s="94" t="n"/>
    </row>
    <row r="838" ht="13.5" customHeight="1">
      <c r="A838" s="94" t="n"/>
      <c r="B838" s="94" t="n"/>
      <c r="C838" s="94" t="n"/>
      <c r="D838" s="94" t="n"/>
      <c r="E838" s="282" t="n"/>
      <c r="F838" s="282" t="n"/>
      <c r="G838" s="94" t="n"/>
      <c r="H838" s="94" t="n"/>
      <c r="I838" s="94" t="n"/>
      <c r="J838" s="94" t="n"/>
      <c r="K838" s="94" t="n"/>
      <c r="L838" s="94" t="n"/>
    </row>
    <row r="839" ht="13.5" customHeight="1">
      <c r="A839" s="94" t="n"/>
      <c r="B839" s="94" t="n"/>
      <c r="C839" s="94" t="n"/>
      <c r="D839" s="94" t="n"/>
      <c r="E839" s="282" t="n"/>
      <c r="F839" s="282" t="n"/>
      <c r="G839" s="94" t="n"/>
      <c r="H839" s="94" t="n"/>
      <c r="I839" s="94" t="n"/>
      <c r="J839" s="94" t="n"/>
      <c r="K839" s="94" t="n"/>
      <c r="L839" s="94" t="n"/>
    </row>
    <row r="840" ht="13.5" customHeight="1">
      <c r="A840" s="94" t="n"/>
      <c r="B840" s="94" t="n"/>
      <c r="C840" s="94" t="n"/>
      <c r="D840" s="94" t="n"/>
      <c r="E840" s="282" t="n"/>
      <c r="F840" s="282" t="n"/>
      <c r="G840" s="94" t="n"/>
      <c r="H840" s="94" t="n"/>
      <c r="I840" s="94" t="n"/>
      <c r="J840" s="94" t="n"/>
      <c r="K840" s="94" t="n"/>
      <c r="L840" s="94" t="n"/>
    </row>
    <row r="841" ht="13.5" customHeight="1">
      <c r="A841" s="94" t="n"/>
      <c r="B841" s="94" t="n"/>
      <c r="C841" s="94" t="n"/>
      <c r="D841" s="94" t="n"/>
      <c r="E841" s="282" t="n"/>
      <c r="F841" s="282" t="n"/>
      <c r="G841" s="94" t="n"/>
      <c r="H841" s="94" t="n"/>
      <c r="I841" s="94" t="n"/>
      <c r="J841" s="94" t="n"/>
      <c r="K841" s="94" t="n"/>
      <c r="L841" s="94" t="n"/>
    </row>
    <row r="842" ht="13.5" customHeight="1">
      <c r="A842" s="94" t="n"/>
      <c r="B842" s="94" t="n"/>
      <c r="C842" s="94" t="n"/>
      <c r="D842" s="94" t="n"/>
      <c r="E842" s="282" t="n"/>
      <c r="F842" s="282" t="n"/>
      <c r="G842" s="94" t="n"/>
      <c r="H842" s="94" t="n"/>
      <c r="I842" s="94" t="n"/>
      <c r="J842" s="94" t="n"/>
      <c r="K842" s="94" t="n"/>
      <c r="L842" s="94" t="n"/>
    </row>
    <row r="843" ht="13.5" customHeight="1">
      <c r="A843" s="94" t="n"/>
      <c r="B843" s="94" t="n"/>
      <c r="C843" s="94" t="n"/>
      <c r="D843" s="94" t="n"/>
      <c r="E843" s="282" t="n"/>
      <c r="F843" s="282" t="n"/>
      <c r="G843" s="94" t="n"/>
      <c r="H843" s="94" t="n"/>
      <c r="I843" s="94" t="n"/>
      <c r="J843" s="94" t="n"/>
      <c r="K843" s="94" t="n"/>
      <c r="L843" s="94" t="n"/>
    </row>
    <row r="844" ht="13.5" customHeight="1">
      <c r="A844" s="94" t="n"/>
      <c r="B844" s="94" t="n"/>
      <c r="C844" s="94" t="n"/>
      <c r="D844" s="94" t="n"/>
      <c r="E844" s="282" t="n"/>
      <c r="F844" s="282" t="n"/>
      <c r="G844" s="94" t="n"/>
      <c r="H844" s="94" t="n"/>
      <c r="I844" s="94" t="n"/>
      <c r="J844" s="94" t="n"/>
      <c r="K844" s="94" t="n"/>
      <c r="L844" s="94" t="n"/>
    </row>
    <row r="845" ht="13.5" customHeight="1">
      <c r="A845" s="94" t="n"/>
      <c r="B845" s="94" t="n"/>
      <c r="C845" s="94" t="n"/>
      <c r="D845" s="94" t="n"/>
      <c r="E845" s="282" t="n"/>
      <c r="F845" s="282" t="n"/>
      <c r="G845" s="94" t="n"/>
      <c r="H845" s="94" t="n"/>
      <c r="I845" s="94" t="n"/>
      <c r="J845" s="94" t="n"/>
      <c r="K845" s="94" t="n"/>
      <c r="L845" s="94" t="n"/>
    </row>
    <row r="846" ht="13.5" customHeight="1">
      <c r="A846" s="94" t="n"/>
      <c r="B846" s="94" t="n"/>
      <c r="C846" s="94" t="n"/>
      <c r="D846" s="94" t="n"/>
      <c r="E846" s="282" t="n"/>
      <c r="F846" s="282" t="n"/>
      <c r="G846" s="94" t="n"/>
      <c r="H846" s="94" t="n"/>
      <c r="I846" s="94" t="n"/>
      <c r="J846" s="94" t="n"/>
      <c r="K846" s="94" t="n"/>
      <c r="L846" s="94" t="n"/>
    </row>
    <row r="847" ht="13.5" customHeight="1">
      <c r="A847" s="94" t="n"/>
      <c r="B847" s="94" t="n"/>
      <c r="C847" s="94" t="n"/>
      <c r="D847" s="94" t="n"/>
      <c r="E847" s="282" t="n"/>
      <c r="F847" s="282" t="n"/>
      <c r="G847" s="94" t="n"/>
      <c r="H847" s="94" t="n"/>
      <c r="I847" s="94" t="n"/>
      <c r="J847" s="94" t="n"/>
      <c r="K847" s="94" t="n"/>
      <c r="L847" s="94" t="n"/>
    </row>
    <row r="848" ht="13.5" customHeight="1">
      <c r="A848" s="94" t="n"/>
      <c r="B848" s="94" t="n"/>
      <c r="C848" s="94" t="n"/>
      <c r="D848" s="94" t="n"/>
      <c r="E848" s="282" t="n"/>
      <c r="F848" s="282" t="n"/>
      <c r="G848" s="94" t="n"/>
      <c r="H848" s="94" t="n"/>
      <c r="I848" s="94" t="n"/>
      <c r="J848" s="94" t="n"/>
      <c r="K848" s="94" t="n"/>
      <c r="L848" s="94" t="n"/>
    </row>
    <row r="849" ht="13.5" customHeight="1">
      <c r="A849" s="94" t="n"/>
      <c r="B849" s="94" t="n"/>
      <c r="C849" s="94" t="n"/>
      <c r="D849" s="94" t="n"/>
      <c r="E849" s="282" t="n"/>
      <c r="F849" s="282" t="n"/>
      <c r="G849" s="94" t="n"/>
      <c r="H849" s="94" t="n"/>
      <c r="I849" s="94" t="n"/>
      <c r="J849" s="94" t="n"/>
      <c r="K849" s="94" t="n"/>
      <c r="L849" s="94" t="n"/>
    </row>
    <row r="850" ht="13.5" customHeight="1">
      <c r="A850" s="94" t="n"/>
      <c r="B850" s="94" t="n"/>
      <c r="C850" s="94" t="n"/>
      <c r="D850" s="94" t="n"/>
      <c r="E850" s="282" t="n"/>
      <c r="F850" s="282" t="n"/>
      <c r="G850" s="94" t="n"/>
      <c r="H850" s="94" t="n"/>
      <c r="I850" s="94" t="n"/>
      <c r="J850" s="94" t="n"/>
      <c r="K850" s="94" t="n"/>
      <c r="L850" s="94" t="n"/>
    </row>
    <row r="851" ht="13.5" customHeight="1">
      <c r="A851" s="94" t="n"/>
      <c r="B851" s="94" t="n"/>
      <c r="C851" s="94" t="n"/>
      <c r="D851" s="94" t="n"/>
      <c r="E851" s="282" t="n"/>
      <c r="F851" s="282" t="n"/>
      <c r="G851" s="94" t="n"/>
      <c r="H851" s="94" t="n"/>
      <c r="I851" s="94" t="n"/>
      <c r="J851" s="94" t="n"/>
      <c r="K851" s="94" t="n"/>
      <c r="L851" s="94" t="n"/>
    </row>
    <row r="852" ht="13.5" customHeight="1">
      <c r="A852" s="94" t="n"/>
      <c r="B852" s="94" t="n"/>
      <c r="C852" s="94" t="n"/>
      <c r="D852" s="94" t="n"/>
      <c r="E852" s="282" t="n"/>
      <c r="F852" s="282" t="n"/>
      <c r="G852" s="94" t="n"/>
      <c r="H852" s="94" t="n"/>
      <c r="I852" s="94" t="n"/>
      <c r="J852" s="94" t="n"/>
      <c r="K852" s="94" t="n"/>
      <c r="L852" s="94" t="n"/>
    </row>
    <row r="853" ht="13.5" customHeight="1">
      <c r="A853" s="94" t="n"/>
      <c r="B853" s="94" t="n"/>
      <c r="C853" s="94" t="n"/>
      <c r="D853" s="94" t="n"/>
      <c r="E853" s="282" t="n"/>
      <c r="F853" s="282" t="n"/>
      <c r="G853" s="94" t="n"/>
      <c r="H853" s="94" t="n"/>
      <c r="I853" s="94" t="n"/>
      <c r="J853" s="94" t="n"/>
      <c r="K853" s="94" t="n"/>
      <c r="L853" s="94" t="n"/>
    </row>
    <row r="854" ht="13.5" customHeight="1">
      <c r="A854" s="94" t="n"/>
      <c r="B854" s="94" t="n"/>
      <c r="C854" s="94" t="n"/>
      <c r="D854" s="94" t="n"/>
      <c r="E854" s="282" t="n"/>
      <c r="F854" s="282" t="n"/>
      <c r="G854" s="94" t="n"/>
      <c r="H854" s="94" t="n"/>
      <c r="I854" s="94" t="n"/>
      <c r="J854" s="94" t="n"/>
      <c r="K854" s="94" t="n"/>
      <c r="L854" s="94" t="n"/>
    </row>
    <row r="855" ht="13.5" customHeight="1">
      <c r="A855" s="94" t="n"/>
      <c r="B855" s="94" t="n"/>
      <c r="C855" s="94" t="n"/>
      <c r="D855" s="94" t="n"/>
      <c r="E855" s="282" t="n"/>
      <c r="F855" s="282" t="n"/>
      <c r="G855" s="94" t="n"/>
      <c r="H855" s="94" t="n"/>
      <c r="I855" s="94" t="n"/>
      <c r="J855" s="94" t="n"/>
      <c r="K855" s="94" t="n"/>
      <c r="L855" s="94" t="n"/>
    </row>
    <row r="856" ht="13.5" customHeight="1">
      <c r="A856" s="94" t="n"/>
      <c r="B856" s="94" t="n"/>
      <c r="C856" s="94" t="n"/>
      <c r="D856" s="94" t="n"/>
      <c r="E856" s="282" t="n"/>
      <c r="F856" s="282" t="n"/>
      <c r="G856" s="94" t="n"/>
      <c r="H856" s="94" t="n"/>
      <c r="I856" s="94" t="n"/>
      <c r="J856" s="94" t="n"/>
      <c r="K856" s="94" t="n"/>
      <c r="L856" s="94" t="n"/>
    </row>
    <row r="857" ht="13.5" customHeight="1">
      <c r="A857" s="94" t="n"/>
      <c r="B857" s="94" t="n"/>
      <c r="C857" s="94" t="n"/>
      <c r="D857" s="94" t="n"/>
      <c r="E857" s="282" t="n"/>
      <c r="F857" s="282" t="n"/>
      <c r="G857" s="94" t="n"/>
      <c r="H857" s="94" t="n"/>
      <c r="I857" s="94" t="n"/>
      <c r="J857" s="94" t="n"/>
      <c r="K857" s="94" t="n"/>
      <c r="L857" s="94" t="n"/>
    </row>
    <row r="858" ht="13.5" customHeight="1">
      <c r="A858" s="94" t="n"/>
      <c r="B858" s="94" t="n"/>
      <c r="C858" s="94" t="n"/>
      <c r="D858" s="94" t="n"/>
      <c r="E858" s="282" t="n"/>
      <c r="F858" s="282" t="n"/>
      <c r="G858" s="94" t="n"/>
      <c r="H858" s="94" t="n"/>
      <c r="I858" s="94" t="n"/>
      <c r="J858" s="94" t="n"/>
      <c r="K858" s="94" t="n"/>
      <c r="L858" s="94" t="n"/>
    </row>
    <row r="859" ht="13.5" customHeight="1">
      <c r="A859" s="94" t="n"/>
      <c r="B859" s="94" t="n"/>
      <c r="C859" s="94" t="n"/>
      <c r="D859" s="94" t="n"/>
      <c r="E859" s="282" t="n"/>
      <c r="F859" s="282" t="n"/>
      <c r="G859" s="94" t="n"/>
      <c r="H859" s="94" t="n"/>
      <c r="I859" s="94" t="n"/>
      <c r="J859" s="94" t="n"/>
      <c r="K859" s="94" t="n"/>
      <c r="L859" s="94" t="n"/>
    </row>
    <row r="860" ht="13.5" customHeight="1">
      <c r="A860" s="94" t="n"/>
      <c r="B860" s="94" t="n"/>
      <c r="C860" s="94" t="n"/>
      <c r="D860" s="94" t="n"/>
      <c r="E860" s="282" t="n"/>
      <c r="F860" s="282" t="n"/>
      <c r="G860" s="94" t="n"/>
      <c r="H860" s="94" t="n"/>
      <c r="I860" s="94" t="n"/>
      <c r="J860" s="94" t="n"/>
      <c r="K860" s="94" t="n"/>
      <c r="L860" s="94" t="n"/>
    </row>
    <row r="861" ht="13.5" customHeight="1">
      <c r="A861" s="94" t="n"/>
      <c r="B861" s="94" t="n"/>
      <c r="C861" s="94" t="n"/>
      <c r="D861" s="94" t="n"/>
      <c r="E861" s="282" t="n"/>
      <c r="F861" s="282" t="n"/>
      <c r="G861" s="94" t="n"/>
      <c r="H861" s="94" t="n"/>
      <c r="I861" s="94" t="n"/>
      <c r="J861" s="94" t="n"/>
      <c r="K861" s="94" t="n"/>
      <c r="L861" s="94" t="n"/>
    </row>
    <row r="862" ht="13.5" customHeight="1">
      <c r="A862" s="94" t="n"/>
      <c r="B862" s="94" t="n"/>
      <c r="C862" s="94" t="n"/>
      <c r="D862" s="94" t="n"/>
      <c r="E862" s="282" t="n"/>
      <c r="F862" s="282" t="n"/>
      <c r="G862" s="94" t="n"/>
      <c r="H862" s="94" t="n"/>
      <c r="I862" s="94" t="n"/>
      <c r="J862" s="94" t="n"/>
      <c r="K862" s="94" t="n"/>
      <c r="L862" s="94" t="n"/>
    </row>
    <row r="863" ht="13.5" customHeight="1">
      <c r="A863" s="94" t="n"/>
      <c r="B863" s="94" t="n"/>
      <c r="C863" s="94" t="n"/>
      <c r="D863" s="94" t="n"/>
      <c r="E863" s="282" t="n"/>
      <c r="F863" s="282" t="n"/>
      <c r="G863" s="94" t="n"/>
      <c r="H863" s="94" t="n"/>
      <c r="I863" s="94" t="n"/>
      <c r="J863" s="94" t="n"/>
      <c r="K863" s="94" t="n"/>
      <c r="L863" s="94" t="n"/>
    </row>
    <row r="864" ht="13.5" customHeight="1">
      <c r="A864" s="94" t="n"/>
      <c r="B864" s="94" t="n"/>
      <c r="C864" s="94" t="n"/>
      <c r="D864" s="94" t="n"/>
      <c r="E864" s="282" t="n"/>
      <c r="F864" s="282" t="n"/>
      <c r="G864" s="94" t="n"/>
      <c r="H864" s="94" t="n"/>
      <c r="I864" s="94" t="n"/>
      <c r="J864" s="94" t="n"/>
      <c r="K864" s="94" t="n"/>
      <c r="L864" s="94" t="n"/>
    </row>
    <row r="865" ht="13.5" customHeight="1">
      <c r="A865" s="94" t="n"/>
      <c r="B865" s="94" t="n"/>
      <c r="C865" s="94" t="n"/>
      <c r="D865" s="94" t="n"/>
      <c r="E865" s="282" t="n"/>
      <c r="F865" s="282" t="n"/>
      <c r="G865" s="94" t="n"/>
      <c r="H865" s="94" t="n"/>
      <c r="I865" s="94" t="n"/>
      <c r="J865" s="94" t="n"/>
      <c r="K865" s="94" t="n"/>
      <c r="L865" s="94" t="n"/>
    </row>
    <row r="866" ht="13.5" customHeight="1">
      <c r="A866" s="94" t="n"/>
      <c r="B866" s="94" t="n"/>
      <c r="C866" s="94" t="n"/>
      <c r="D866" s="94" t="n"/>
      <c r="E866" s="282" t="n"/>
      <c r="F866" s="282" t="n"/>
      <c r="G866" s="94" t="n"/>
      <c r="H866" s="94" t="n"/>
      <c r="I866" s="94" t="n"/>
      <c r="J866" s="94" t="n"/>
      <c r="K866" s="94" t="n"/>
      <c r="L866" s="94" t="n"/>
    </row>
    <row r="867" ht="13.5" customHeight="1">
      <c r="A867" s="94" t="n"/>
      <c r="B867" s="94" t="n"/>
      <c r="C867" s="94" t="n"/>
      <c r="D867" s="94" t="n"/>
      <c r="E867" s="282" t="n"/>
      <c r="F867" s="282" t="n"/>
      <c r="G867" s="94" t="n"/>
      <c r="H867" s="94" t="n"/>
      <c r="I867" s="94" t="n"/>
      <c r="J867" s="94" t="n"/>
      <c r="K867" s="94" t="n"/>
      <c r="L867" s="94" t="n"/>
    </row>
    <row r="868" ht="13.5" customHeight="1">
      <c r="A868" s="94" t="n"/>
      <c r="B868" s="94" t="n"/>
      <c r="C868" s="94" t="n"/>
      <c r="D868" s="94" t="n"/>
      <c r="E868" s="282" t="n"/>
      <c r="F868" s="282" t="n"/>
      <c r="G868" s="94" t="n"/>
      <c r="H868" s="94" t="n"/>
      <c r="I868" s="94" t="n"/>
      <c r="J868" s="94" t="n"/>
      <c r="K868" s="94" t="n"/>
      <c r="L868" s="94" t="n"/>
    </row>
    <row r="869" ht="13.5" customHeight="1">
      <c r="A869" s="94" t="n"/>
      <c r="B869" s="94" t="n"/>
      <c r="C869" s="94" t="n"/>
      <c r="D869" s="94" t="n"/>
      <c r="E869" s="282" t="n"/>
      <c r="F869" s="282" t="n"/>
      <c r="G869" s="94" t="n"/>
      <c r="H869" s="94" t="n"/>
      <c r="I869" s="94" t="n"/>
      <c r="J869" s="94" t="n"/>
      <c r="K869" s="94" t="n"/>
      <c r="L869" s="94" t="n"/>
    </row>
    <row r="870" ht="13.5" customHeight="1">
      <c r="A870" s="94" t="n"/>
      <c r="B870" s="94" t="n"/>
      <c r="C870" s="94" t="n"/>
      <c r="D870" s="94" t="n"/>
      <c r="E870" s="282" t="n"/>
      <c r="F870" s="282" t="n"/>
      <c r="G870" s="94" t="n"/>
      <c r="H870" s="94" t="n"/>
      <c r="I870" s="94" t="n"/>
      <c r="J870" s="94" t="n"/>
      <c r="K870" s="94" t="n"/>
      <c r="L870" s="94" t="n"/>
    </row>
    <row r="871" ht="13.5" customHeight="1">
      <c r="A871" s="94" t="n"/>
      <c r="B871" s="94" t="n"/>
      <c r="C871" s="94" t="n"/>
      <c r="D871" s="94" t="n"/>
      <c r="E871" s="282" t="n"/>
      <c r="F871" s="282" t="n"/>
      <c r="G871" s="94" t="n"/>
      <c r="H871" s="94" t="n"/>
      <c r="I871" s="94" t="n"/>
      <c r="J871" s="94" t="n"/>
      <c r="K871" s="94" t="n"/>
      <c r="L871" s="94" t="n"/>
    </row>
    <row r="872" ht="13.5" customHeight="1">
      <c r="A872" s="94" t="n"/>
      <c r="B872" s="94" t="n"/>
      <c r="C872" s="94" t="n"/>
      <c r="D872" s="94" t="n"/>
      <c r="E872" s="282" t="n"/>
      <c r="F872" s="282" t="n"/>
      <c r="G872" s="94" t="n"/>
      <c r="H872" s="94" t="n"/>
      <c r="I872" s="94" t="n"/>
      <c r="J872" s="94" t="n"/>
      <c r="K872" s="94" t="n"/>
      <c r="L872" s="94" t="n"/>
    </row>
    <row r="873" ht="13.5" customHeight="1">
      <c r="A873" s="94" t="n"/>
      <c r="B873" s="94" t="n"/>
      <c r="C873" s="94" t="n"/>
      <c r="D873" s="94" t="n"/>
      <c r="E873" s="282" t="n"/>
      <c r="F873" s="282" t="n"/>
      <c r="G873" s="94" t="n"/>
      <c r="H873" s="94" t="n"/>
      <c r="I873" s="94" t="n"/>
      <c r="J873" s="94" t="n"/>
      <c r="K873" s="94" t="n"/>
      <c r="L873" s="94" t="n"/>
    </row>
    <row r="874" ht="13.5" customHeight="1">
      <c r="A874" s="94" t="n"/>
      <c r="B874" s="94" t="n"/>
      <c r="C874" s="94" t="n"/>
      <c r="D874" s="94" t="n"/>
      <c r="E874" s="282" t="n"/>
      <c r="F874" s="282" t="n"/>
      <c r="G874" s="94" t="n"/>
      <c r="H874" s="94" t="n"/>
      <c r="I874" s="94" t="n"/>
      <c r="J874" s="94" t="n"/>
      <c r="K874" s="94" t="n"/>
      <c r="L874" s="94" t="n"/>
    </row>
    <row r="875" ht="13.5" customHeight="1">
      <c r="A875" s="94" t="n"/>
      <c r="B875" s="94" t="n"/>
      <c r="C875" s="94" t="n"/>
      <c r="D875" s="94" t="n"/>
      <c r="E875" s="282" t="n"/>
      <c r="F875" s="282" t="n"/>
      <c r="G875" s="94" t="n"/>
      <c r="H875" s="94" t="n"/>
      <c r="I875" s="94" t="n"/>
      <c r="J875" s="94" t="n"/>
      <c r="K875" s="94" t="n"/>
      <c r="L875" s="94" t="n"/>
    </row>
    <row r="876" ht="13.5" customHeight="1">
      <c r="A876" s="94" t="n"/>
      <c r="B876" s="94" t="n"/>
      <c r="C876" s="94" t="n"/>
      <c r="D876" s="94" t="n"/>
      <c r="E876" s="282" t="n"/>
      <c r="F876" s="282" t="n"/>
      <c r="G876" s="94" t="n"/>
      <c r="H876" s="94" t="n"/>
      <c r="I876" s="94" t="n"/>
      <c r="J876" s="94" t="n"/>
      <c r="K876" s="94" t="n"/>
      <c r="L876" s="94" t="n"/>
    </row>
    <row r="877" ht="13.5" customHeight="1">
      <c r="A877" s="94" t="n"/>
      <c r="B877" s="94" t="n"/>
      <c r="C877" s="94" t="n"/>
      <c r="D877" s="94" t="n"/>
      <c r="E877" s="282" t="n"/>
      <c r="F877" s="282" t="n"/>
      <c r="G877" s="94" t="n"/>
      <c r="H877" s="94" t="n"/>
      <c r="I877" s="94" t="n"/>
      <c r="J877" s="94" t="n"/>
      <c r="K877" s="94" t="n"/>
      <c r="L877" s="94" t="n"/>
    </row>
    <row r="878" ht="13.5" customHeight="1">
      <c r="A878" s="94" t="n"/>
      <c r="B878" s="94" t="n"/>
      <c r="C878" s="94" t="n"/>
      <c r="D878" s="94" t="n"/>
      <c r="E878" s="282" t="n"/>
      <c r="F878" s="282" t="n"/>
      <c r="G878" s="94" t="n"/>
      <c r="H878" s="94" t="n"/>
      <c r="I878" s="94" t="n"/>
      <c r="J878" s="94" t="n"/>
      <c r="K878" s="94" t="n"/>
      <c r="L878" s="94" t="n"/>
    </row>
    <row r="879" ht="13.5" customHeight="1">
      <c r="A879" s="94" t="n"/>
      <c r="B879" s="94" t="n"/>
      <c r="C879" s="94" t="n"/>
      <c r="D879" s="94" t="n"/>
      <c r="E879" s="282" t="n"/>
      <c r="F879" s="282" t="n"/>
      <c r="G879" s="94" t="n"/>
      <c r="H879" s="94" t="n"/>
      <c r="I879" s="94" t="n"/>
      <c r="J879" s="94" t="n"/>
      <c r="K879" s="94" t="n"/>
      <c r="L879" s="94" t="n"/>
    </row>
    <row r="880" ht="13.5" customHeight="1">
      <c r="A880" s="94" t="n"/>
      <c r="B880" s="94" t="n"/>
      <c r="C880" s="94" t="n"/>
      <c r="D880" s="94" t="n"/>
      <c r="E880" s="282" t="n"/>
      <c r="F880" s="282" t="n"/>
      <c r="G880" s="94" t="n"/>
      <c r="H880" s="94" t="n"/>
      <c r="I880" s="94" t="n"/>
      <c r="J880" s="94" t="n"/>
      <c r="K880" s="94" t="n"/>
      <c r="L880" s="94" t="n"/>
    </row>
    <row r="881" ht="13.5" customHeight="1">
      <c r="A881" s="94" t="n"/>
      <c r="B881" s="94" t="n"/>
      <c r="C881" s="94" t="n"/>
      <c r="D881" s="94" t="n"/>
      <c r="E881" s="282" t="n"/>
      <c r="F881" s="282" t="n"/>
      <c r="G881" s="94" t="n"/>
      <c r="H881" s="94" t="n"/>
      <c r="I881" s="94" t="n"/>
      <c r="J881" s="94" t="n"/>
      <c r="K881" s="94" t="n"/>
      <c r="L881" s="94" t="n"/>
    </row>
    <row r="882" ht="13.5" customHeight="1">
      <c r="A882" s="94" t="n"/>
      <c r="B882" s="94" t="n"/>
      <c r="C882" s="94" t="n"/>
      <c r="D882" s="94" t="n"/>
      <c r="E882" s="282" t="n"/>
      <c r="F882" s="282" t="n"/>
      <c r="G882" s="94" t="n"/>
      <c r="H882" s="94" t="n"/>
      <c r="I882" s="94" t="n"/>
      <c r="J882" s="94" t="n"/>
      <c r="K882" s="94" t="n"/>
      <c r="L882" s="94" t="n"/>
    </row>
    <row r="883" ht="13.5" customHeight="1">
      <c r="A883" s="94" t="n"/>
      <c r="B883" s="94" t="n"/>
      <c r="C883" s="94" t="n"/>
      <c r="D883" s="94" t="n"/>
      <c r="E883" s="282" t="n"/>
      <c r="F883" s="282" t="n"/>
      <c r="G883" s="94" t="n"/>
      <c r="H883" s="94" t="n"/>
      <c r="I883" s="94" t="n"/>
      <c r="J883" s="94" t="n"/>
      <c r="K883" s="94" t="n"/>
      <c r="L883" s="94" t="n"/>
    </row>
    <row r="884" ht="13.5" customHeight="1">
      <c r="A884" s="94" t="n"/>
      <c r="B884" s="94" t="n"/>
      <c r="C884" s="94" t="n"/>
      <c r="D884" s="94" t="n"/>
      <c r="E884" s="282" t="n"/>
      <c r="F884" s="282" t="n"/>
      <c r="G884" s="94" t="n"/>
      <c r="H884" s="94" t="n"/>
      <c r="I884" s="94" t="n"/>
      <c r="J884" s="94" t="n"/>
      <c r="K884" s="94" t="n"/>
      <c r="L884" s="94" t="n"/>
    </row>
    <row r="885" ht="13.5" customHeight="1">
      <c r="A885" s="94" t="n"/>
      <c r="B885" s="94" t="n"/>
      <c r="C885" s="94" t="n"/>
      <c r="D885" s="94" t="n"/>
      <c r="E885" s="282" t="n"/>
      <c r="F885" s="282" t="n"/>
      <c r="G885" s="94" t="n"/>
      <c r="H885" s="94" t="n"/>
      <c r="I885" s="94" t="n"/>
      <c r="J885" s="94" t="n"/>
      <c r="K885" s="94" t="n"/>
      <c r="L885" s="94" t="n"/>
    </row>
    <row r="886" ht="13.5" customHeight="1">
      <c r="A886" s="94" t="n"/>
      <c r="B886" s="94" t="n"/>
      <c r="C886" s="94" t="n"/>
      <c r="D886" s="94" t="n"/>
      <c r="E886" s="282" t="n"/>
      <c r="F886" s="282" t="n"/>
      <c r="G886" s="94" t="n"/>
      <c r="H886" s="94" t="n"/>
      <c r="I886" s="94" t="n"/>
      <c r="J886" s="94" t="n"/>
      <c r="K886" s="94" t="n"/>
      <c r="L886" s="94" t="n"/>
    </row>
    <row r="887" ht="13.5" customHeight="1">
      <c r="A887" s="94" t="n"/>
      <c r="B887" s="94" t="n"/>
      <c r="C887" s="94" t="n"/>
      <c r="D887" s="94" t="n"/>
      <c r="E887" s="282" t="n"/>
      <c r="F887" s="282" t="n"/>
      <c r="G887" s="94" t="n"/>
      <c r="H887" s="94" t="n"/>
      <c r="I887" s="94" t="n"/>
      <c r="J887" s="94" t="n"/>
      <c r="K887" s="94" t="n"/>
      <c r="L887" s="94" t="n"/>
    </row>
    <row r="888" ht="13.5" customHeight="1">
      <c r="A888" s="94" t="n"/>
      <c r="B888" s="94" t="n"/>
      <c r="C888" s="94" t="n"/>
      <c r="D888" s="94" t="n"/>
      <c r="E888" s="282" t="n"/>
      <c r="F888" s="282" t="n"/>
      <c r="G888" s="94" t="n"/>
      <c r="H888" s="94" t="n"/>
      <c r="I888" s="94" t="n"/>
      <c r="J888" s="94" t="n"/>
      <c r="K888" s="94" t="n"/>
      <c r="L888" s="94" t="n"/>
    </row>
    <row r="889" ht="13.5" customHeight="1">
      <c r="A889" s="94" t="n"/>
      <c r="B889" s="94" t="n"/>
      <c r="C889" s="94" t="n"/>
      <c r="D889" s="94" t="n"/>
      <c r="E889" s="282" t="n"/>
      <c r="F889" s="282" t="n"/>
      <c r="G889" s="94" t="n"/>
      <c r="H889" s="94" t="n"/>
      <c r="I889" s="94" t="n"/>
      <c r="J889" s="94" t="n"/>
      <c r="K889" s="94" t="n"/>
      <c r="L889" s="94" t="n"/>
    </row>
    <row r="890" ht="13.5" customHeight="1">
      <c r="A890" s="94" t="n"/>
      <c r="B890" s="94" t="n"/>
      <c r="C890" s="94" t="n"/>
      <c r="D890" s="94" t="n"/>
      <c r="E890" s="282" t="n"/>
      <c r="F890" s="282" t="n"/>
      <c r="G890" s="94" t="n"/>
      <c r="H890" s="94" t="n"/>
      <c r="I890" s="94" t="n"/>
      <c r="J890" s="94" t="n"/>
      <c r="K890" s="94" t="n"/>
      <c r="L890" s="94" t="n"/>
    </row>
    <row r="891" ht="13.5" customHeight="1">
      <c r="A891" s="94" t="n"/>
      <c r="B891" s="94" t="n"/>
      <c r="C891" s="94" t="n"/>
      <c r="D891" s="94" t="n"/>
      <c r="E891" s="282" t="n"/>
      <c r="F891" s="282" t="n"/>
      <c r="G891" s="94" t="n"/>
      <c r="H891" s="94" t="n"/>
      <c r="I891" s="94" t="n"/>
      <c r="J891" s="94" t="n"/>
      <c r="K891" s="94" t="n"/>
      <c r="L891" s="94" t="n"/>
    </row>
    <row r="892" ht="13.5" customHeight="1">
      <c r="A892" s="94" t="n"/>
      <c r="B892" s="94" t="n"/>
      <c r="C892" s="94" t="n"/>
      <c r="D892" s="94" t="n"/>
      <c r="E892" s="282" t="n"/>
      <c r="F892" s="282" t="n"/>
      <c r="G892" s="94" t="n"/>
      <c r="H892" s="94" t="n"/>
      <c r="I892" s="94" t="n"/>
      <c r="J892" s="94" t="n"/>
      <c r="K892" s="94" t="n"/>
      <c r="L892" s="94" t="n"/>
    </row>
    <row r="893" ht="13.5" customHeight="1">
      <c r="A893" s="94" t="n"/>
      <c r="B893" s="94" t="n"/>
      <c r="C893" s="94" t="n"/>
      <c r="D893" s="94" t="n"/>
      <c r="E893" s="282" t="n"/>
      <c r="F893" s="282" t="n"/>
      <c r="G893" s="94" t="n"/>
      <c r="H893" s="94" t="n"/>
      <c r="I893" s="94" t="n"/>
      <c r="J893" s="94" t="n"/>
      <c r="K893" s="94" t="n"/>
      <c r="L893" s="94" t="n"/>
    </row>
    <row r="894" ht="13.5" customHeight="1">
      <c r="A894" s="94" t="n"/>
      <c r="B894" s="94" t="n"/>
      <c r="C894" s="94" t="n"/>
      <c r="D894" s="94" t="n"/>
      <c r="E894" s="282" t="n"/>
      <c r="F894" s="282" t="n"/>
      <c r="G894" s="94" t="n"/>
      <c r="H894" s="94" t="n"/>
      <c r="I894" s="94" t="n"/>
      <c r="J894" s="94" t="n"/>
      <c r="K894" s="94" t="n"/>
      <c r="L894" s="94" t="n"/>
    </row>
    <row r="895" ht="13.5" customHeight="1">
      <c r="A895" s="94" t="n"/>
      <c r="B895" s="94" t="n"/>
      <c r="C895" s="94" t="n"/>
      <c r="D895" s="94" t="n"/>
      <c r="E895" s="282" t="n"/>
      <c r="F895" s="282" t="n"/>
      <c r="G895" s="94" t="n"/>
      <c r="H895" s="94" t="n"/>
      <c r="I895" s="94" t="n"/>
      <c r="J895" s="94" t="n"/>
      <c r="K895" s="94" t="n"/>
      <c r="L895" s="94" t="n"/>
    </row>
    <row r="896" ht="13.5" customHeight="1">
      <c r="A896" s="94" t="n"/>
      <c r="B896" s="94" t="n"/>
      <c r="C896" s="94" t="n"/>
      <c r="D896" s="94" t="n"/>
      <c r="E896" s="282" t="n"/>
      <c r="F896" s="282" t="n"/>
      <c r="G896" s="94" t="n"/>
      <c r="H896" s="94" t="n"/>
      <c r="I896" s="94" t="n"/>
      <c r="J896" s="94" t="n"/>
      <c r="K896" s="94" t="n"/>
      <c r="L896" s="94" t="n"/>
    </row>
    <row r="897" ht="13.5" customHeight="1">
      <c r="A897" s="94" t="n"/>
      <c r="B897" s="94" t="n"/>
      <c r="C897" s="94" t="n"/>
      <c r="D897" s="94" t="n"/>
      <c r="E897" s="282" t="n"/>
      <c r="F897" s="282" t="n"/>
      <c r="G897" s="94" t="n"/>
      <c r="H897" s="94" t="n"/>
      <c r="I897" s="94" t="n"/>
      <c r="J897" s="94" t="n"/>
      <c r="K897" s="94" t="n"/>
      <c r="L897" s="94" t="n"/>
    </row>
    <row r="898" ht="13.5" customHeight="1">
      <c r="A898" s="94" t="n"/>
      <c r="B898" s="94" t="n"/>
      <c r="C898" s="94" t="n"/>
      <c r="D898" s="94" t="n"/>
      <c r="E898" s="282" t="n"/>
      <c r="F898" s="282" t="n"/>
      <c r="G898" s="94" t="n"/>
      <c r="H898" s="94" t="n"/>
      <c r="I898" s="94" t="n"/>
      <c r="J898" s="94" t="n"/>
      <c r="K898" s="94" t="n"/>
      <c r="L898" s="94" t="n"/>
    </row>
    <row r="899" ht="13.5" customHeight="1">
      <c r="A899" s="94" t="n"/>
      <c r="B899" s="94" t="n"/>
      <c r="C899" s="94" t="n"/>
      <c r="D899" s="94" t="n"/>
      <c r="E899" s="282" t="n"/>
      <c r="F899" s="282" t="n"/>
      <c r="G899" s="94" t="n"/>
      <c r="H899" s="94" t="n"/>
      <c r="I899" s="94" t="n"/>
      <c r="J899" s="94" t="n"/>
      <c r="K899" s="94" t="n"/>
      <c r="L899" s="94" t="n"/>
    </row>
    <row r="900" ht="13.5" customHeight="1">
      <c r="A900" s="94" t="n"/>
      <c r="B900" s="94" t="n"/>
      <c r="C900" s="94" t="n"/>
      <c r="D900" s="94" t="n"/>
      <c r="E900" s="282" t="n"/>
      <c r="F900" s="282" t="n"/>
      <c r="G900" s="94" t="n"/>
      <c r="H900" s="94" t="n"/>
      <c r="I900" s="94" t="n"/>
      <c r="J900" s="94" t="n"/>
      <c r="K900" s="94" t="n"/>
      <c r="L900" s="94" t="n"/>
    </row>
    <row r="901" ht="13.5" customHeight="1">
      <c r="A901" s="94" t="n"/>
      <c r="B901" s="94" t="n"/>
      <c r="C901" s="94" t="n"/>
      <c r="D901" s="94" t="n"/>
      <c r="E901" s="282" t="n"/>
      <c r="F901" s="282" t="n"/>
      <c r="G901" s="94" t="n"/>
      <c r="H901" s="94" t="n"/>
      <c r="I901" s="94" t="n"/>
      <c r="J901" s="94" t="n"/>
      <c r="K901" s="94" t="n"/>
      <c r="L901" s="94" t="n"/>
    </row>
    <row r="902" ht="13.5" customHeight="1">
      <c r="A902" s="94" t="n"/>
      <c r="B902" s="94" t="n"/>
      <c r="C902" s="94" t="n"/>
      <c r="D902" s="94" t="n"/>
      <c r="E902" s="282" t="n"/>
      <c r="F902" s="282" t="n"/>
      <c r="G902" s="94" t="n"/>
      <c r="H902" s="94" t="n"/>
      <c r="I902" s="94" t="n"/>
      <c r="J902" s="94" t="n"/>
      <c r="K902" s="94" t="n"/>
      <c r="L902" s="94" t="n"/>
    </row>
    <row r="903" ht="13.5" customHeight="1">
      <c r="A903" s="94" t="n"/>
      <c r="B903" s="94" t="n"/>
      <c r="C903" s="94" t="n"/>
      <c r="D903" s="94" t="n"/>
      <c r="E903" s="282" t="n"/>
      <c r="F903" s="282" t="n"/>
      <c r="G903" s="94" t="n"/>
      <c r="H903" s="94" t="n"/>
      <c r="I903" s="94" t="n"/>
      <c r="J903" s="94" t="n"/>
      <c r="K903" s="94" t="n"/>
      <c r="L903" s="94" t="n"/>
    </row>
    <row r="904" ht="13.5" customHeight="1">
      <c r="A904" s="94" t="n"/>
      <c r="B904" s="94" t="n"/>
      <c r="C904" s="94" t="n"/>
      <c r="D904" s="94" t="n"/>
      <c r="E904" s="282" t="n"/>
      <c r="F904" s="282" t="n"/>
      <c r="G904" s="94" t="n"/>
      <c r="H904" s="94" t="n"/>
      <c r="I904" s="94" t="n"/>
      <c r="J904" s="94" t="n"/>
      <c r="K904" s="94" t="n"/>
      <c r="L904" s="94" t="n"/>
    </row>
    <row r="905" ht="13.5" customHeight="1">
      <c r="A905" s="94" t="n"/>
      <c r="B905" s="94" t="n"/>
      <c r="C905" s="94" t="n"/>
      <c r="D905" s="94" t="n"/>
      <c r="E905" s="282" t="n"/>
      <c r="F905" s="282" t="n"/>
      <c r="G905" s="94" t="n"/>
      <c r="H905" s="94" t="n"/>
      <c r="I905" s="94" t="n"/>
      <c r="J905" s="94" t="n"/>
      <c r="K905" s="94" t="n"/>
      <c r="L905" s="94" t="n"/>
    </row>
    <row r="906" ht="13.5" customHeight="1">
      <c r="A906" s="94" t="n"/>
      <c r="B906" s="94" t="n"/>
      <c r="C906" s="94" t="n"/>
      <c r="D906" s="94" t="n"/>
      <c r="E906" s="282" t="n"/>
      <c r="F906" s="282" t="n"/>
      <c r="G906" s="94" t="n"/>
      <c r="H906" s="94" t="n"/>
      <c r="I906" s="94" t="n"/>
      <c r="J906" s="94" t="n"/>
      <c r="K906" s="94" t="n"/>
      <c r="L906" s="94" t="n"/>
    </row>
    <row r="907" ht="13.5" customHeight="1">
      <c r="A907" s="94" t="n"/>
      <c r="B907" s="94" t="n"/>
      <c r="C907" s="94" t="n"/>
      <c r="D907" s="94" t="n"/>
      <c r="E907" s="282" t="n"/>
      <c r="F907" s="282" t="n"/>
      <c r="G907" s="94" t="n"/>
      <c r="H907" s="94" t="n"/>
      <c r="I907" s="94" t="n"/>
      <c r="J907" s="94" t="n"/>
      <c r="K907" s="94" t="n"/>
      <c r="L907" s="94" t="n"/>
    </row>
    <row r="908" ht="13.5" customHeight="1">
      <c r="A908" s="94" t="n"/>
      <c r="B908" s="94" t="n"/>
      <c r="C908" s="94" t="n"/>
      <c r="D908" s="94" t="n"/>
      <c r="E908" s="282" t="n"/>
      <c r="F908" s="282" t="n"/>
      <c r="G908" s="94" t="n"/>
      <c r="H908" s="94" t="n"/>
      <c r="I908" s="94" t="n"/>
      <c r="J908" s="94" t="n"/>
      <c r="K908" s="94" t="n"/>
      <c r="L908" s="94" t="n"/>
    </row>
    <row r="909" ht="13.5" customHeight="1">
      <c r="A909" s="94" t="n"/>
      <c r="B909" s="94" t="n"/>
      <c r="C909" s="94" t="n"/>
      <c r="D909" s="94" t="n"/>
      <c r="E909" s="282" t="n"/>
      <c r="F909" s="282" t="n"/>
      <c r="G909" s="94" t="n"/>
      <c r="H909" s="94" t="n"/>
      <c r="I909" s="94" t="n"/>
      <c r="J909" s="94" t="n"/>
      <c r="K909" s="94" t="n"/>
      <c r="L909" s="94" t="n"/>
    </row>
    <row r="910" ht="13.5" customHeight="1">
      <c r="A910" s="94" t="n"/>
      <c r="B910" s="94" t="n"/>
      <c r="C910" s="94" t="n"/>
      <c r="D910" s="94" t="n"/>
      <c r="E910" s="282" t="n"/>
      <c r="F910" s="282" t="n"/>
      <c r="G910" s="94" t="n"/>
      <c r="H910" s="94" t="n"/>
      <c r="I910" s="94" t="n"/>
      <c r="J910" s="94" t="n"/>
      <c r="K910" s="94" t="n"/>
      <c r="L910" s="94" t="n"/>
    </row>
    <row r="911" ht="13.5" customHeight="1">
      <c r="A911" s="94" t="n"/>
      <c r="B911" s="94" t="n"/>
      <c r="C911" s="94" t="n"/>
      <c r="D911" s="94" t="n"/>
      <c r="E911" s="282" t="n"/>
      <c r="F911" s="282" t="n"/>
      <c r="G911" s="94" t="n"/>
      <c r="H911" s="94" t="n"/>
      <c r="I911" s="94" t="n"/>
      <c r="J911" s="94" t="n"/>
      <c r="K911" s="94" t="n"/>
      <c r="L911" s="94" t="n"/>
    </row>
    <row r="912" ht="13.5" customHeight="1">
      <c r="A912" s="94" t="n"/>
      <c r="B912" s="94" t="n"/>
      <c r="C912" s="94" t="n"/>
      <c r="D912" s="94" t="n"/>
      <c r="E912" s="282" t="n"/>
      <c r="F912" s="282" t="n"/>
      <c r="G912" s="94" t="n"/>
      <c r="H912" s="94" t="n"/>
      <c r="I912" s="94" t="n"/>
      <c r="J912" s="94" t="n"/>
      <c r="K912" s="94" t="n"/>
      <c r="L912" s="94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zoomScale="109" workbookViewId="0">
      <selection activeCell="A1" sqref="A1"/>
    </sheetView>
  </sheetViews>
  <sheetFormatPr baseColWidth="10" defaultColWidth="10.83203125" defaultRowHeight="14"/>
  <cols>
    <col width="2.6640625" customWidth="1" style="70" min="1" max="1"/>
    <col width="26.1640625" bestFit="1" customWidth="1" style="70" min="2" max="2"/>
    <col width="15" bestFit="1" customWidth="1" style="78" min="3" max="3"/>
    <col width="10.1640625" bestFit="1" customWidth="1" style="78" min="4" max="5"/>
    <col width="13.5" bestFit="1" customWidth="1" style="78" min="6" max="6"/>
    <col width="10.83203125" customWidth="1" style="78" min="7" max="7"/>
    <col width="13.5" bestFit="1" customWidth="1" style="78" min="8" max="8"/>
    <col width="10.83203125" customWidth="1" style="70" min="9" max="16384"/>
  </cols>
  <sheetData>
    <row r="1">
      <c r="C1" s="70" t="n"/>
      <c r="D1" s="70" t="n"/>
      <c r="E1" s="70" t="n"/>
      <c r="F1" s="70" t="n"/>
      <c r="G1" s="70" t="n"/>
      <c r="H1" s="70" t="n"/>
    </row>
    <row r="2" customFormat="1" s="71">
      <c r="A2" s="70" t="n"/>
      <c r="B2" s="72" t="inlineStr">
        <is>
          <t>Cost of debt computation</t>
        </is>
      </c>
    </row>
    <row r="3">
      <c r="B3" s="76" t="n"/>
      <c r="C3" s="76" t="n"/>
      <c r="D3" s="76" t="n"/>
      <c r="E3" s="76" t="n"/>
      <c r="F3" s="76" t="n"/>
      <c r="G3" s="76" t="n"/>
      <c r="H3" s="76" t="n"/>
      <c r="I3" s="76" t="n"/>
    </row>
    <row r="4">
      <c r="A4" s="76" t="n"/>
      <c r="B4" s="74" t="inlineStr">
        <is>
          <t>Latest risk-free rate</t>
        </is>
      </c>
      <c r="C4" s="73" t="n"/>
      <c r="D4" s="73" t="n"/>
      <c r="E4" s="73" t="n"/>
      <c r="F4" s="73" t="n"/>
      <c r="G4" s="73" t="n"/>
      <c r="H4" s="73" t="n"/>
      <c r="I4" s="73" t="n"/>
      <c r="J4" s="76" t="n"/>
    </row>
    <row r="5">
      <c r="B5" s="76" t="inlineStr">
        <is>
          <t>US 10Y Treasury Yield</t>
        </is>
      </c>
      <c r="C5" s="86" t="n">
        <v>0.04255</v>
      </c>
      <c r="D5" s="76" t="n"/>
      <c r="E5" s="76" t="n"/>
      <c r="F5" s="76" t="n"/>
      <c r="G5" s="76" t="n"/>
      <c r="H5" s="76" t="n"/>
      <c r="I5" s="76" t="n"/>
    </row>
    <row r="6">
      <c r="B6" s="76" t="inlineStr">
        <is>
          <t>Spread</t>
        </is>
      </c>
      <c r="C6" s="86">
        <f>G32</f>
        <v/>
      </c>
      <c r="D6" s="76" t="n"/>
      <c r="E6" s="76" t="n"/>
      <c r="F6" s="76" t="n"/>
      <c r="G6" s="76" t="n"/>
      <c r="H6" s="76" t="n"/>
      <c r="I6" s="76" t="n"/>
    </row>
    <row r="7">
      <c r="B7" s="90" t="inlineStr">
        <is>
          <t>Cost of debt</t>
        </is>
      </c>
      <c r="C7" s="91">
        <f>C5+C6</f>
        <v/>
      </c>
      <c r="D7" s="76" t="n"/>
      <c r="E7" s="76" t="n"/>
      <c r="F7" s="76" t="n"/>
      <c r="G7" s="76" t="n"/>
      <c r="H7" s="76" t="n"/>
      <c r="I7" s="76" t="n"/>
    </row>
    <row r="8">
      <c r="C8" s="70" t="n"/>
      <c r="D8" s="70" t="n"/>
      <c r="E8" s="70" t="n"/>
      <c r="F8" s="70" t="n"/>
      <c r="G8" s="70" t="n"/>
      <c r="H8" s="70" t="n"/>
    </row>
    <row r="9">
      <c r="B9" s="74" t="inlineStr">
        <is>
          <t>HEI Credit Rating</t>
        </is>
      </c>
      <c r="C9" s="73" t="n"/>
      <c r="D9" s="73" t="n"/>
      <c r="E9" s="73" t="n"/>
      <c r="F9" s="73" t="n"/>
      <c r="G9" s="73" t="n"/>
      <c r="H9" s="73" t="n"/>
      <c r="I9" s="73" t="n"/>
    </row>
    <row r="10">
      <c r="B10" s="70" t="inlineStr">
        <is>
          <t>Moody's</t>
        </is>
      </c>
      <c r="C10" s="85" t="inlineStr">
        <is>
          <t>Baa2</t>
        </is>
      </c>
      <c r="D10" s="70" t="n"/>
      <c r="E10" s="70" t="n"/>
      <c r="F10" s="70" t="n"/>
      <c r="G10" s="70" t="n"/>
      <c r="H10" s="70" t="n"/>
    </row>
    <row r="11">
      <c r="B11" s="70" t="inlineStr">
        <is>
          <t>Fitch</t>
        </is>
      </c>
      <c r="C11" s="85" t="inlineStr">
        <is>
          <t>BBB</t>
        </is>
      </c>
      <c r="D11" s="70" t="n"/>
      <c r="E11" s="70" t="n"/>
      <c r="F11" s="70" t="n"/>
      <c r="G11" s="70" t="n"/>
      <c r="H11" s="70" t="n"/>
    </row>
    <row r="12">
      <c r="C12" s="70" t="n"/>
      <c r="D12" s="70" t="n"/>
      <c r="E12" s="70" t="n"/>
      <c r="F12" s="70" t="n"/>
      <c r="G12" s="70" t="n"/>
      <c r="H12" s="70" t="n"/>
    </row>
    <row r="13">
      <c r="B13" s="74" t="inlineStr">
        <is>
          <t>Comps Credit Spreads</t>
        </is>
      </c>
      <c r="C13" s="73" t="n"/>
      <c r="D13" s="73" t="n"/>
      <c r="E13" s="73" t="n"/>
      <c r="F13" s="73" t="n"/>
      <c r="G13" s="73" t="n"/>
      <c r="H13" s="73" t="n"/>
      <c r="I13" s="73" t="n"/>
    </row>
    <row r="14">
      <c r="B14" s="77" t="n"/>
      <c r="C14" s="76" t="n"/>
      <c r="D14" s="76" t="n"/>
      <c r="E14" s="76" t="n"/>
      <c r="F14" s="76" t="n"/>
      <c r="G14" s="76" t="n"/>
      <c r="H14" s="76" t="n"/>
      <c r="I14" s="76" t="n"/>
    </row>
    <row r="15">
      <c r="A15" s="76" t="n"/>
      <c r="B15" s="77" t="n"/>
      <c r="C15" s="76" t="inlineStr">
        <is>
          <t>Credit Rating</t>
        </is>
      </c>
      <c r="D15" s="76" t="inlineStr">
        <is>
          <t>Agency</t>
        </is>
      </c>
      <c r="E15" s="76" t="n"/>
      <c r="F15" s="76" t="n"/>
      <c r="G15" s="70" t="n"/>
      <c r="H15" s="70" t="n"/>
    </row>
    <row r="16">
      <c r="B16" s="76" t="inlineStr">
        <is>
          <t>TransDigm Group</t>
        </is>
      </c>
      <c r="C16" s="80" t="inlineStr">
        <is>
          <t>B</t>
        </is>
      </c>
      <c r="D16" s="70" t="inlineStr">
        <is>
          <t>Moody's</t>
        </is>
      </c>
      <c r="E16" s="70" t="n"/>
      <c r="F16" s="70" t="n"/>
      <c r="G16" s="70" t="n"/>
      <c r="H16" s="70" t="n"/>
    </row>
    <row r="17">
      <c r="B17" s="70" t="inlineStr">
        <is>
          <t>AAR Corp</t>
        </is>
      </c>
      <c r="C17" s="78" t="inlineStr">
        <is>
          <t>Ba2</t>
        </is>
      </c>
      <c r="D17" s="70" t="inlineStr">
        <is>
          <t>Moody's</t>
        </is>
      </c>
      <c r="E17" s="70" t="n"/>
      <c r="F17" s="70" t="n"/>
      <c r="G17" s="70" t="n"/>
      <c r="H17" s="70" t="n"/>
    </row>
    <row r="18">
      <c r="B18" s="70" t="inlineStr">
        <is>
          <t>FTAI Aviation Ltd.</t>
        </is>
      </c>
      <c r="C18" s="78" t="inlineStr">
        <is>
          <t>Ba2</t>
        </is>
      </c>
      <c r="D18" s="70" t="inlineStr">
        <is>
          <t>Moody's</t>
        </is>
      </c>
      <c r="E18" s="70" t="n"/>
      <c r="F18" s="70" t="n"/>
      <c r="G18" s="70" t="n"/>
      <c r="H18" s="70" t="n"/>
    </row>
    <row r="19">
      <c r="B19" s="70" t="inlineStr">
        <is>
          <t>RBC Bearings</t>
        </is>
      </c>
      <c r="C19" s="78" t="inlineStr">
        <is>
          <t>BB</t>
        </is>
      </c>
      <c r="D19" s="70" t="inlineStr">
        <is>
          <t>S&amp;P</t>
        </is>
      </c>
      <c r="E19" s="70" t="n"/>
      <c r="F19" s="70" t="n"/>
      <c r="G19" s="70" t="n"/>
      <c r="H19" s="70" t="n"/>
    </row>
    <row r="20">
      <c r="B20" s="82" t="inlineStr">
        <is>
          <t>Howmet Aerospace</t>
        </is>
      </c>
      <c r="C20" s="81" t="inlineStr">
        <is>
          <t>BBB</t>
        </is>
      </c>
      <c r="D20" s="82" t="inlineStr">
        <is>
          <t>S&amp;P</t>
        </is>
      </c>
      <c r="E20" s="70" t="n"/>
      <c r="F20" s="70" t="n"/>
      <c r="G20" s="70" t="n"/>
      <c r="H20" s="70" t="n"/>
    </row>
    <row r="21">
      <c r="B21" s="70" t="inlineStr">
        <is>
          <t>RTX Corporation</t>
        </is>
      </c>
      <c r="C21" s="78" t="inlineStr">
        <is>
          <t>Baa1</t>
        </is>
      </c>
      <c r="D21" s="70" t="inlineStr">
        <is>
          <t>Moody's</t>
        </is>
      </c>
      <c r="E21" s="70" t="n"/>
      <c r="F21" s="70" t="n"/>
      <c r="G21" s="70" t="n"/>
      <c r="H21" s="70" t="n"/>
    </row>
    <row r="22">
      <c r="B22" s="70" t="inlineStr">
        <is>
          <t>Moog Inc</t>
        </is>
      </c>
      <c r="C22" s="78" t="inlineStr">
        <is>
          <t>BB+</t>
        </is>
      </c>
      <c r="D22" s="70" t="inlineStr">
        <is>
          <t>S&amp;P</t>
        </is>
      </c>
      <c r="E22" s="70" t="n"/>
      <c r="F22" s="70" t="n"/>
      <c r="G22" s="70" t="n"/>
      <c r="H22" s="70" t="n"/>
    </row>
    <row r="23">
      <c r="B23" s="70" t="inlineStr">
        <is>
          <t>Honeywell International</t>
        </is>
      </c>
      <c r="C23" s="78" t="inlineStr">
        <is>
          <t>A2</t>
        </is>
      </c>
      <c r="D23" s="70" t="inlineStr">
        <is>
          <t>Moody's</t>
        </is>
      </c>
      <c r="E23" s="70" t="n"/>
      <c r="F23" s="70" t="n"/>
      <c r="G23" s="70" t="n"/>
      <c r="H23" s="70" t="n"/>
    </row>
    <row r="25">
      <c r="B25" s="84" t="inlineStr">
        <is>
          <t>Howmet Bonds</t>
        </is>
      </c>
      <c r="C25" s="73" t="inlineStr">
        <is>
          <t>Yield</t>
        </is>
      </c>
      <c r="D25" s="73" t="inlineStr">
        <is>
          <t>Maturity</t>
        </is>
      </c>
      <c r="E25" s="73" t="inlineStr">
        <is>
          <t>Years</t>
        </is>
      </c>
      <c r="F25" s="73" t="inlineStr">
        <is>
          <t>Risk-Free</t>
        </is>
      </c>
      <c r="G25" s="73" t="inlineStr">
        <is>
          <t>Spread</t>
        </is>
      </c>
    </row>
    <row r="26">
      <c r="B26" s="70" t="inlineStr">
        <is>
          <t>5.900% 2/1/2027</t>
        </is>
      </c>
      <c r="C26" s="87" t="n">
        <v>0.04502</v>
      </c>
      <c r="D26" s="88" t="n">
        <v>2027</v>
      </c>
      <c r="E26" s="88">
        <f>D26-2025</f>
        <v/>
      </c>
      <c r="F26" s="87" t="n">
        <v>0.0374</v>
      </c>
      <c r="G26" s="89">
        <f>C26-F26</f>
        <v/>
      </c>
    </row>
    <row r="27">
      <c r="B27" s="70" t="inlineStr">
        <is>
          <t>6.750% 1/15/2028</t>
        </is>
      </c>
      <c r="C27" s="89">
        <f>4.786%</f>
        <v/>
      </c>
      <c r="D27" s="88" t="n">
        <v>2028</v>
      </c>
      <c r="E27" s="88">
        <f>D27-2025</f>
        <v/>
      </c>
      <c r="F27" s="89" t="n">
        <v>0.0376</v>
      </c>
      <c r="G27" s="89">
        <f>C27-F27</f>
        <v/>
      </c>
    </row>
    <row r="28">
      <c r="B28" s="70" t="inlineStr">
        <is>
          <t>3.000% 1/15/2029</t>
        </is>
      </c>
      <c r="C28" s="89" t="n">
        <v>0.046243</v>
      </c>
      <c r="D28" s="88" t="n">
        <v>2029</v>
      </c>
      <c r="E28" s="88">
        <f>D28-2025</f>
        <v/>
      </c>
      <c r="F28" s="89" t="n">
        <v>0.0382</v>
      </c>
      <c r="G28" s="89">
        <f>C28-F28</f>
        <v/>
      </c>
    </row>
    <row r="29">
      <c r="B29" s="70" t="inlineStr">
        <is>
          <t>4.850% 10/15/2031</t>
        </is>
      </c>
      <c r="C29" s="89" t="n">
        <v>0.048548</v>
      </c>
      <c r="D29" s="88" t="n">
        <v>2031</v>
      </c>
      <c r="E29" s="88">
        <f>D29-2025</f>
        <v/>
      </c>
      <c r="F29" s="89" t="n">
        <v>0.0395</v>
      </c>
      <c r="G29" s="89">
        <f>C29-F29</f>
        <v/>
      </c>
    </row>
    <row r="30">
      <c r="B30" s="70" t="inlineStr">
        <is>
          <t>5.950% 2/1/2037</t>
        </is>
      </c>
      <c r="C30" s="89" t="n">
        <v>0.055012</v>
      </c>
      <c r="D30" s="88" t="n">
        <v>2037</v>
      </c>
      <c r="E30" s="88">
        <f>D30-2025</f>
        <v/>
      </c>
      <c r="F30" s="89" t="n">
        <v>0.044</v>
      </c>
      <c r="G30" s="89">
        <f>C30-F30</f>
        <v/>
      </c>
    </row>
    <row r="32">
      <c r="F32" s="78" t="inlineStr">
        <is>
          <t>AVG</t>
        </is>
      </c>
      <c r="G32" s="79">
        <f>AVERAGE(G26:G30)</f>
        <v/>
      </c>
    </row>
  </sheetData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zoomScale="75" zoomScaleNormal="117" workbookViewId="0">
      <selection activeCell="A1" sqref="A1"/>
    </sheetView>
  </sheetViews>
  <sheetFormatPr baseColWidth="10" defaultColWidth="10.83203125" defaultRowHeight="16"/>
  <cols>
    <col width="44.83203125" bestFit="1" customWidth="1" style="154" min="1" max="1"/>
    <col width="13.83203125" bestFit="1" customWidth="1" style="154" min="2" max="2"/>
    <col width="10.83203125" customWidth="1" style="154" min="3" max="3"/>
    <col width="17.5" bestFit="1" customWidth="1" style="154" min="4" max="4"/>
    <col width="14" bestFit="1" customWidth="1" style="154" min="5" max="5"/>
    <col width="13.1640625" customWidth="1" style="154" min="6" max="6"/>
    <col width="10.83203125" customWidth="1" style="154" min="7" max="8"/>
    <col width="13.5" customWidth="1" style="154" min="9" max="9"/>
    <col width="13.6640625" customWidth="1" style="154" min="10" max="10"/>
    <col width="11.5" customWidth="1" style="154" min="11" max="11"/>
    <col width="10.33203125" bestFit="1" customWidth="1" style="154" min="12" max="12"/>
    <col width="19" customWidth="1" style="154" min="13" max="13"/>
    <col width="36.5" customWidth="1" style="154" min="14" max="14"/>
    <col width="25.5" customWidth="1" style="154" min="15" max="15"/>
    <col width="10.83203125" customWidth="1" style="154" min="16" max="16384"/>
  </cols>
  <sheetData>
    <row r="1">
      <c r="A1" s="411" t="inlineStr">
        <is>
          <t>NYSE: HEI</t>
        </is>
      </c>
    </row>
    <row r="2">
      <c r="A2" s="155" t="inlineStr">
        <is>
          <t>Share Price (As of 04/24/2025)</t>
        </is>
      </c>
      <c r="B2" s="156" t="inlineStr">
        <is>
          <t>$242.04</t>
        </is>
      </c>
    </row>
    <row r="3">
      <c r="A3" s="155" t="inlineStr">
        <is>
          <t>Diluted Shares Outstanding</t>
        </is>
      </c>
      <c r="B3" s="156" t="inlineStr">
        <is>
          <t>138.95M</t>
        </is>
      </c>
      <c r="D3" s="412" t="n"/>
    </row>
    <row r="4">
      <c r="A4" s="155" t="inlineStr">
        <is>
          <t>Market Cap</t>
        </is>
      </c>
      <c r="B4" s="156" t="inlineStr">
        <is>
          <t>$29.72B</t>
        </is>
      </c>
      <c r="D4" s="413" t="n"/>
    </row>
    <row r="5">
      <c r="A5" s="155" t="inlineStr">
        <is>
          <t>Company P/E</t>
        </is>
      </c>
      <c r="B5" s="156" t="inlineStr">
        <is>
          <t>66.8x</t>
        </is>
      </c>
    </row>
    <row r="6">
      <c r="A6" s="155" t="inlineStr">
        <is>
          <t>Industry P/E</t>
        </is>
      </c>
      <c r="B6" s="156" t="inlineStr">
        <is>
          <t>45.85x</t>
        </is>
      </c>
      <c r="G6" s="533" t="n"/>
    </row>
    <row r="7">
      <c r="A7" s="155" t="inlineStr">
        <is>
          <t>EV/EBITDA</t>
        </is>
      </c>
      <c r="B7" s="156" t="inlineStr">
        <is>
          <t>31.78x</t>
        </is>
      </c>
      <c r="G7" s="534" t="n"/>
      <c r="H7" s="159" t="n"/>
    </row>
    <row r="8">
      <c r="A8" s="155" t="inlineStr">
        <is>
          <t>Industry EV/EBITDA</t>
        </is>
      </c>
      <c r="B8" s="156" t="inlineStr">
        <is>
          <t>23.04x</t>
        </is>
      </c>
      <c r="G8" s="534" t="n"/>
      <c r="H8" s="159" t="n"/>
    </row>
    <row r="9">
      <c r="A9" s="155" t="n"/>
      <c r="B9" s="155" t="n"/>
      <c r="G9" s="534" t="n"/>
      <c r="H9" s="159" t="n"/>
    </row>
    <row r="10">
      <c r="B10" s="155" t="n"/>
      <c r="C10" s="155" t="n"/>
      <c r="D10" s="155" t="n"/>
      <c r="E10" s="155" t="n"/>
      <c r="F10" s="155" t="n"/>
      <c r="G10" s="155" t="n"/>
      <c r="H10" s="155" t="n"/>
      <c r="I10" s="155" t="n"/>
      <c r="J10" s="155" t="n"/>
      <c r="K10" s="155" t="n"/>
      <c r="L10" s="155" t="n"/>
    </row>
    <row r="11" ht="20" customHeight="1">
      <c r="A11" s="408" t="inlineStr">
        <is>
          <t>Comparables Analysis (Aircraft Aftermarket)</t>
        </is>
      </c>
    </row>
    <row r="12" ht="18" customHeight="1">
      <c r="A12" s="414" t="inlineStr">
        <is>
          <t>Stock prices and multiples as of 04/23/2025, Monetary Figures in $millions, except for stock price, multiples and market cap</t>
        </is>
      </c>
    </row>
    <row r="13" ht="18" customHeight="1">
      <c r="A13" s="410" t="inlineStr">
        <is>
          <t>Company</t>
        </is>
      </c>
      <c r="B13" s="410" t="inlineStr">
        <is>
          <t>Country</t>
        </is>
      </c>
      <c r="C13" s="410" t="inlineStr">
        <is>
          <t>Ticker</t>
        </is>
      </c>
      <c r="D13" s="410" t="inlineStr">
        <is>
          <t>Market Valuation</t>
        </is>
      </c>
      <c r="E13" s="535" t="n"/>
      <c r="F13" s="535" t="n"/>
      <c r="G13" s="410" t="inlineStr">
        <is>
          <t>Financial Performance (NTM)</t>
        </is>
      </c>
      <c r="H13" s="535" t="n"/>
      <c r="I13" s="535" t="n"/>
      <c r="J13" s="410" t="inlineStr">
        <is>
          <t>Multiples</t>
        </is>
      </c>
      <c r="K13" s="535" t="n"/>
      <c r="L13" s="535" t="n"/>
    </row>
    <row r="14" ht="18" customHeight="1">
      <c r="A14" s="535" t="n"/>
      <c r="B14" s="535" t="n"/>
      <c r="C14" s="535" t="n"/>
      <c r="D14" s="161" t="inlineStr">
        <is>
          <t>Price</t>
        </is>
      </c>
      <c r="E14" s="161" t="inlineStr">
        <is>
          <t>Market Cap</t>
        </is>
      </c>
      <c r="F14" s="161" t="inlineStr">
        <is>
          <t>TEV</t>
        </is>
      </c>
      <c r="G14" s="161" t="inlineStr">
        <is>
          <t>Sales</t>
        </is>
      </c>
      <c r="H14" s="161" t="inlineStr">
        <is>
          <t>EBITDA</t>
        </is>
      </c>
      <c r="I14" s="161" t="inlineStr">
        <is>
          <t>Net Income</t>
        </is>
      </c>
      <c r="J14" s="162" t="inlineStr">
        <is>
          <t>EV/EBITDA</t>
        </is>
      </c>
      <c r="K14" s="162" t="inlineStr">
        <is>
          <t>EV/Sales</t>
        </is>
      </c>
      <c r="L14" s="162" t="inlineStr">
        <is>
          <t>P/E</t>
        </is>
      </c>
    </row>
    <row r="15" ht="18" customHeight="1">
      <c r="A15" s="163" t="inlineStr">
        <is>
          <t>HEICO Corp</t>
        </is>
      </c>
      <c r="B15" s="163" t="inlineStr">
        <is>
          <t>USA</t>
        </is>
      </c>
      <c r="C15" s="163" t="inlineStr">
        <is>
          <t>HEI</t>
        </is>
      </c>
      <c r="D15" s="536" t="n">
        <v>246.35</v>
      </c>
      <c r="E15" s="163" t="inlineStr">
        <is>
          <t>$ 29.72B</t>
        </is>
      </c>
      <c r="F15" s="163" t="n">
        <v>32009.45</v>
      </c>
      <c r="G15" s="163" t="n">
        <v>4298</v>
      </c>
      <c r="H15" s="163" t="n">
        <v>1145</v>
      </c>
      <c r="I15" s="163" t="n">
        <v>627.84</v>
      </c>
      <c r="J15" s="165" t="n">
        <v>31.78</v>
      </c>
      <c r="K15" s="165" t="n">
        <v>8.300000000000001</v>
      </c>
      <c r="L15" s="165" t="n">
        <v>60.03</v>
      </c>
    </row>
    <row r="16" ht="18" customHeight="1">
      <c r="A16" s="166" t="inlineStr">
        <is>
          <t>TransDigm Group</t>
        </is>
      </c>
      <c r="B16" s="166" t="inlineStr">
        <is>
          <t>USA</t>
        </is>
      </c>
      <c r="C16" s="166" t="inlineStr">
        <is>
          <t>TDG</t>
        </is>
      </c>
      <c r="D16" s="537" t="n">
        <v>1362.31</v>
      </c>
      <c r="E16" s="166" t="inlineStr">
        <is>
          <t>$ 75.83B</t>
        </is>
      </c>
      <c r="F16" s="166" t="n">
        <v>94472.03999999999</v>
      </c>
      <c r="G16" s="166" t="n">
        <v>8880</v>
      </c>
      <c r="H16" s="166" t="n">
        <v>4710</v>
      </c>
      <c r="I16" s="166" t="n">
        <v>2175</v>
      </c>
      <c r="J16" s="168" t="n">
        <v>23.86</v>
      </c>
      <c r="K16" s="168" t="n">
        <v>11.9</v>
      </c>
      <c r="L16" s="168" t="n">
        <v>48.22</v>
      </c>
    </row>
    <row r="17" ht="18" customHeight="1">
      <c r="A17" s="166" t="inlineStr">
        <is>
          <t>AAR Corp</t>
        </is>
      </c>
      <c r="B17" s="166" t="inlineStr">
        <is>
          <t>USA</t>
        </is>
      </c>
      <c r="C17" s="166" t="inlineStr">
        <is>
          <t>AIR</t>
        </is>
      </c>
      <c r="D17" s="538" t="n">
        <v>47</v>
      </c>
      <c r="E17" s="170" t="inlineStr">
        <is>
          <t>$ 1.90B</t>
        </is>
      </c>
      <c r="F17" s="166" t="n">
        <v>3414.57</v>
      </c>
      <c r="G17" s="166" t="n">
        <v>787.9400000000001</v>
      </c>
      <c r="H17" s="166" t="n">
        <v>140.26</v>
      </c>
      <c r="I17" s="166" t="n">
        <v>59.03</v>
      </c>
      <c r="J17" s="168" t="n">
        <v>15.7</v>
      </c>
      <c r="K17" s="168" t="n">
        <v>1.47</v>
      </c>
      <c r="L17" s="168" t="n">
        <v>40.81</v>
      </c>
    </row>
    <row r="18" ht="18" customHeight="1">
      <c r="A18" s="166" t="inlineStr">
        <is>
          <t>FTAI Aviation Ltd.</t>
        </is>
      </c>
      <c r="B18" s="166" t="inlineStr">
        <is>
          <t>USA</t>
        </is>
      </c>
      <c r="C18" s="166" t="inlineStr">
        <is>
          <t>FTAI</t>
        </is>
      </c>
      <c r="D18" s="538" t="n">
        <v>101.85</v>
      </c>
      <c r="E18" s="170" t="inlineStr">
        <is>
          <t>$ 9.83B</t>
        </is>
      </c>
      <c r="F18" s="166" t="n">
        <v>18096.92</v>
      </c>
      <c r="G18" s="166" t="n">
        <v>2503</v>
      </c>
      <c r="H18" s="166" t="n">
        <v>1108</v>
      </c>
      <c r="I18" s="166" t="n">
        <v>590.51</v>
      </c>
      <c r="J18" s="168" t="n">
        <v>37.23</v>
      </c>
      <c r="K18" s="168" t="n">
        <v>10.43</v>
      </c>
      <c r="L18" s="168" t="n">
        <v>43.28</v>
      </c>
    </row>
    <row r="19" ht="18" customHeight="1">
      <c r="A19" s="166" t="inlineStr">
        <is>
          <t>RBC Bearings</t>
        </is>
      </c>
      <c r="B19" s="166" t="inlineStr">
        <is>
          <t>USA</t>
        </is>
      </c>
      <c r="C19" s="166" t="inlineStr">
        <is>
          <t>RBC</t>
        </is>
      </c>
      <c r="D19" s="538" t="n">
        <v>329.7</v>
      </c>
      <c r="E19" s="170" t="inlineStr">
        <is>
          <t>$ 10.38B</t>
        </is>
      </c>
      <c r="F19" s="166" t="n">
        <v>9070.129999999999</v>
      </c>
      <c r="G19" s="166" t="n">
        <v>1639</v>
      </c>
      <c r="H19" s="166" t="n">
        <v>514.52</v>
      </c>
      <c r="I19" s="166" t="n">
        <v>289.49</v>
      </c>
      <c r="J19" s="168" t="n">
        <v>19.5</v>
      </c>
      <c r="K19" s="168" t="n">
        <v>5.81</v>
      </c>
      <c r="L19" s="168" t="n">
        <v>45.3</v>
      </c>
    </row>
    <row r="20" ht="18" customHeight="1">
      <c r="A20" s="171" t="inlineStr">
        <is>
          <t>Mean</t>
        </is>
      </c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3">
        <f>AVERAGE(J15:J19)</f>
        <v/>
      </c>
      <c r="K20" s="173">
        <f>AVERAGE(K15:K19)</f>
        <v/>
      </c>
      <c r="L20" s="173">
        <f>AVERAGE(L15:L19)</f>
        <v/>
      </c>
    </row>
    <row r="21" ht="18" customHeight="1">
      <c r="A21" s="174" t="inlineStr">
        <is>
          <t>Median</t>
        </is>
      </c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75">
        <f>MEDIAN(J15:J19)</f>
        <v/>
      </c>
      <c r="K21" s="175">
        <f>MEDIAN(K15:K19)</f>
        <v/>
      </c>
      <c r="L21" s="175">
        <f>MEDIAN(L15:L19)</f>
        <v/>
      </c>
    </row>
    <row r="25" ht="20" customHeight="1">
      <c r="A25" s="408" t="inlineStr">
        <is>
          <t>Comparables Analysis (OEMs)</t>
        </is>
      </c>
    </row>
    <row r="26" ht="18" customHeight="1">
      <c r="A26" s="414" t="inlineStr">
        <is>
          <t>Stock prices and multiples as of 04/23/2025, Monetary Figures in $millions, except for stock price, multiples and market cap</t>
        </is>
      </c>
      <c r="B26" s="414" t="n"/>
      <c r="C26" s="414" t="n"/>
      <c r="D26" s="414" t="n"/>
      <c r="E26" s="414" t="n"/>
      <c r="F26" s="414" t="n"/>
      <c r="G26" s="414" t="n"/>
      <c r="H26" s="414" t="n"/>
      <c r="I26" s="414" t="n"/>
      <c r="J26" s="414" t="n"/>
      <c r="K26" s="414" t="n"/>
      <c r="L26" s="414" t="n"/>
    </row>
    <row r="27" ht="18" customHeight="1">
      <c r="A27" s="410" t="inlineStr">
        <is>
          <t>Company</t>
        </is>
      </c>
      <c r="B27" s="410" t="inlineStr">
        <is>
          <t>Country</t>
        </is>
      </c>
      <c r="C27" s="410" t="inlineStr">
        <is>
          <t>Ticker</t>
        </is>
      </c>
      <c r="D27" s="410" t="inlineStr">
        <is>
          <t>Market Valuation</t>
        </is>
      </c>
      <c r="E27" s="535" t="n"/>
      <c r="F27" s="535" t="n"/>
      <c r="G27" s="410" t="inlineStr">
        <is>
          <t>Financial Performance (NTM)</t>
        </is>
      </c>
      <c r="H27" s="535" t="n"/>
      <c r="I27" s="535" t="n"/>
      <c r="J27" s="410" t="inlineStr">
        <is>
          <t>Multiples</t>
        </is>
      </c>
      <c r="K27" s="535" t="n"/>
      <c r="L27" s="535" t="n"/>
    </row>
    <row r="28" ht="18" customHeight="1">
      <c r="A28" s="535" t="n"/>
      <c r="B28" s="535" t="n"/>
      <c r="C28" s="535" t="n"/>
      <c r="D28" s="161" t="inlineStr">
        <is>
          <t>Price</t>
        </is>
      </c>
      <c r="E28" s="161" t="inlineStr">
        <is>
          <t>Market Cap</t>
        </is>
      </c>
      <c r="F28" s="161" t="inlineStr">
        <is>
          <t>TEV</t>
        </is>
      </c>
      <c r="G28" s="161" t="inlineStr">
        <is>
          <t>Sales</t>
        </is>
      </c>
      <c r="H28" s="161" t="inlineStr">
        <is>
          <t>EBITDA</t>
        </is>
      </c>
      <c r="I28" s="161" t="inlineStr">
        <is>
          <t>Net Income</t>
        </is>
      </c>
      <c r="J28" s="162" t="inlineStr">
        <is>
          <t>EV/EBITDA</t>
        </is>
      </c>
      <c r="K28" s="162" t="inlineStr">
        <is>
          <t>EV/Sales</t>
        </is>
      </c>
      <c r="L28" s="162" t="inlineStr">
        <is>
          <t>P/E</t>
        </is>
      </c>
      <c r="M28" s="176" t="n"/>
      <c r="N28" s="176" t="n"/>
      <c r="O28" s="176" t="n"/>
    </row>
    <row r="29" ht="18" customHeight="1">
      <c r="A29" s="163" t="inlineStr">
        <is>
          <t>HEICO Corp</t>
        </is>
      </c>
      <c r="B29" s="163" t="inlineStr">
        <is>
          <t>USA</t>
        </is>
      </c>
      <c r="C29" s="163" t="inlineStr">
        <is>
          <t>HEI</t>
        </is>
      </c>
      <c r="D29" s="536" t="n">
        <v>246.35</v>
      </c>
      <c r="E29" s="163" t="inlineStr">
        <is>
          <t>$ 29.72B</t>
        </is>
      </c>
      <c r="F29" s="163" t="n">
        <v>32009.45</v>
      </c>
      <c r="G29" s="163" t="n">
        <v>4298</v>
      </c>
      <c r="H29" s="163" t="n">
        <v>1145</v>
      </c>
      <c r="I29" s="163" t="n">
        <v>627.84</v>
      </c>
      <c r="J29" s="165" t="n">
        <v>31.78</v>
      </c>
      <c r="K29" s="165" t="n">
        <v>8.300000000000001</v>
      </c>
      <c r="L29" s="165" t="n">
        <v>60.03</v>
      </c>
    </row>
    <row r="30" ht="18" customHeight="1">
      <c r="A30" s="166" t="inlineStr">
        <is>
          <t>Howmet Aerospace</t>
        </is>
      </c>
      <c r="B30" s="166" t="inlineStr">
        <is>
          <t>USA</t>
        </is>
      </c>
      <c r="C30" s="166" t="inlineStr">
        <is>
          <t>HWM</t>
        </is>
      </c>
      <c r="D30" s="538" t="n">
        <v>132</v>
      </c>
      <c r="E30" s="170" t="inlineStr">
        <is>
          <t>$ 53.99B</t>
        </is>
      </c>
      <c r="F30" s="166" t="n">
        <v>47001.85</v>
      </c>
      <c r="G30" s="166" t="n">
        <v>8072</v>
      </c>
      <c r="H30" s="166" t="n">
        <v>2172</v>
      </c>
      <c r="I30" s="166" t="n">
        <v>1326</v>
      </c>
      <c r="J30" s="168" t="n">
        <v>24.39</v>
      </c>
      <c r="K30" s="168" t="n">
        <v>6.34</v>
      </c>
      <c r="L30" s="168" t="n">
        <v>47.47</v>
      </c>
      <c r="M30" s="177" t="n"/>
    </row>
    <row r="31" ht="18" customHeight="1">
      <c r="A31" s="166" t="inlineStr">
        <is>
          <t>FTAI Aviation Ltd.</t>
        </is>
      </c>
      <c r="B31" s="166" t="inlineStr">
        <is>
          <t>USA</t>
        </is>
      </c>
      <c r="C31" s="166" t="inlineStr">
        <is>
          <t>FTAI</t>
        </is>
      </c>
      <c r="D31" s="538" t="n">
        <v>101.85</v>
      </c>
      <c r="E31" s="170" t="inlineStr">
        <is>
          <t>$ 9.83B</t>
        </is>
      </c>
      <c r="F31" s="166" t="n">
        <v>18096.92</v>
      </c>
      <c r="G31" s="166" t="n">
        <v>2503</v>
      </c>
      <c r="H31" s="166" t="n">
        <v>1108</v>
      </c>
      <c r="I31" s="166" t="n">
        <v>590.51</v>
      </c>
      <c r="J31" s="168" t="n">
        <v>37.23</v>
      </c>
      <c r="K31" s="168" t="n">
        <v>10.43</v>
      </c>
      <c r="L31" s="168" t="n">
        <v>43.28</v>
      </c>
      <c r="M31" s="177" t="n"/>
    </row>
    <row r="32" ht="18" customHeight="1">
      <c r="A32" s="166" t="inlineStr">
        <is>
          <t>AAR Corp</t>
        </is>
      </c>
      <c r="B32" s="166" t="inlineStr">
        <is>
          <t>USA</t>
        </is>
      </c>
      <c r="C32" s="166" t="inlineStr">
        <is>
          <t>AIR</t>
        </is>
      </c>
      <c r="D32" s="538" t="n">
        <v>47</v>
      </c>
      <c r="E32" s="170" t="inlineStr">
        <is>
          <t>$ 1.90B</t>
        </is>
      </c>
      <c r="F32" s="166" t="n">
        <v>3414.57</v>
      </c>
      <c r="G32" s="166" t="n">
        <v>787.9400000000001</v>
      </c>
      <c r="H32" s="166" t="n">
        <v>140.26</v>
      </c>
      <c r="I32" s="166" t="n">
        <v>59.03</v>
      </c>
      <c r="J32" s="168" t="n">
        <v>15.7</v>
      </c>
      <c r="K32" s="168" t="n">
        <v>1.47</v>
      </c>
      <c r="L32" s="168" t="n">
        <v>40.81</v>
      </c>
      <c r="M32" s="177" t="n"/>
    </row>
    <row r="33" ht="18" customHeight="1">
      <c r="A33" s="166" t="inlineStr">
        <is>
          <t>RTX Corporation</t>
        </is>
      </c>
      <c r="B33" s="166" t="inlineStr">
        <is>
          <t>USA</t>
        </is>
      </c>
      <c r="C33" s="166" t="inlineStr">
        <is>
          <t>RTX</t>
        </is>
      </c>
      <c r="D33" s="538" t="n">
        <v>121.05</v>
      </c>
      <c r="E33" s="170" t="inlineStr">
        <is>
          <t>$ 162.95B</t>
        </is>
      </c>
      <c r="F33" s="166" t="n">
        <v>191638.25</v>
      </c>
      <c r="G33" s="166" t="n">
        <v>84224</v>
      </c>
      <c r="H33" s="166" t="n">
        <v>13732</v>
      </c>
      <c r="I33" s="166" t="n">
        <v>8131</v>
      </c>
      <c r="J33" s="168" t="n">
        <v>13.61</v>
      </c>
      <c r="K33" s="168" t="n">
        <v>2.37</v>
      </c>
      <c r="L33" s="168" t="n">
        <v>35.76</v>
      </c>
      <c r="M33" s="177" t="n"/>
    </row>
    <row r="34" ht="18" customHeight="1">
      <c r="A34" s="166" t="inlineStr">
        <is>
          <t>Moog Inc</t>
        </is>
      </c>
      <c r="B34" s="166" t="inlineStr">
        <is>
          <t>USA</t>
        </is>
      </c>
      <c r="C34" s="166" t="inlineStr">
        <is>
          <t>MOGa</t>
        </is>
      </c>
      <c r="D34" s="538" t="n">
        <v>155</v>
      </c>
      <c r="E34" s="170" t="inlineStr">
        <is>
          <t>$ 5.56B</t>
        </is>
      </c>
      <c r="F34" s="166" t="n">
        <v>7613.94</v>
      </c>
      <c r="G34" s="166" t="n">
        <v>3703</v>
      </c>
      <c r="H34" s="166" t="n">
        <v>546.5</v>
      </c>
      <c r="I34" s="166" t="n">
        <v>330.98</v>
      </c>
      <c r="J34" s="168" t="n">
        <v>16.27</v>
      </c>
      <c r="K34" s="168" t="n">
        <v>2.11</v>
      </c>
      <c r="L34" s="168" t="n">
        <v>25.74</v>
      </c>
      <c r="M34" s="177" t="n"/>
    </row>
    <row r="35" ht="18" customHeight="1">
      <c r="A35" s="166" t="inlineStr">
        <is>
          <t>Honeywell International</t>
        </is>
      </c>
      <c r="B35" s="166" t="inlineStr">
        <is>
          <t>USA</t>
        </is>
      </c>
      <c r="C35" s="166" t="inlineStr">
        <is>
          <t>HON.O</t>
        </is>
      </c>
      <c r="D35" s="537" t="n">
        <v>199.24</v>
      </c>
      <c r="E35" s="166" t="inlineStr">
        <is>
          <t>$ 129.13B</t>
        </is>
      </c>
      <c r="F35" s="166" t="n">
        <v>167572.38</v>
      </c>
      <c r="G35" s="166" t="n">
        <v>40268</v>
      </c>
      <c r="H35" s="166" t="n">
        <v>10338</v>
      </c>
      <c r="I35" s="166" t="n">
        <v>6640</v>
      </c>
      <c r="J35" s="168" t="n">
        <v>17.81</v>
      </c>
      <c r="K35" s="168" t="n">
        <v>4.35</v>
      </c>
      <c r="L35" s="168" t="n">
        <v>23.06</v>
      </c>
      <c r="M35" s="177" t="n"/>
    </row>
    <row r="36" ht="18" customHeight="1">
      <c r="A36" s="171" t="inlineStr">
        <is>
          <t>Mean</t>
        </is>
      </c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3">
        <f>AVERAGE(J29:J35)</f>
        <v/>
      </c>
      <c r="K36" s="173">
        <f>AVERAGE(K29:K35)</f>
        <v/>
      </c>
      <c r="L36" s="173">
        <f>AVERAGE(L29:L35)</f>
        <v/>
      </c>
    </row>
    <row r="37" ht="18" customHeight="1">
      <c r="A37" s="174" t="inlineStr">
        <is>
          <t>Median</t>
        </is>
      </c>
      <c r="B37" s="166" t="n"/>
      <c r="C37" s="166" t="n"/>
      <c r="D37" s="166" t="n"/>
      <c r="E37" s="166" t="n"/>
      <c r="F37" s="166" t="n"/>
      <c r="G37" s="166" t="n"/>
      <c r="H37" s="166" t="n"/>
      <c r="I37" s="166" t="n"/>
      <c r="J37" s="175">
        <f>MEDIAN(J29:J35)</f>
        <v/>
      </c>
      <c r="K37" s="175">
        <f>MEDIAN(K29:K35)</f>
        <v/>
      </c>
      <c r="L37" s="175">
        <f>MEDIAN(L29:L35)</f>
        <v/>
      </c>
    </row>
    <row r="39" ht="20" customHeight="1">
      <c r="A39" s="408" t="inlineStr">
        <is>
          <t>Comparables Analysis (High-tech Electronics / Military Components)</t>
        </is>
      </c>
    </row>
    <row r="40" ht="18" customHeight="1">
      <c r="A40" s="414" t="inlineStr">
        <is>
          <t>Stock prices and multiples as of 04/23/2025, Monetary Figures in $millions, except for stock price, multiples and market cap</t>
        </is>
      </c>
      <c r="B40" s="414" t="n"/>
      <c r="C40" s="414" t="n"/>
      <c r="D40" s="414" t="n"/>
      <c r="E40" s="414" t="n"/>
      <c r="F40" s="414" t="n"/>
      <c r="G40" s="414" t="n"/>
      <c r="H40" s="414" t="n"/>
      <c r="I40" s="414" t="n"/>
      <c r="J40" s="414" t="n"/>
      <c r="K40" s="414" t="n"/>
      <c r="L40" s="414" t="n"/>
    </row>
    <row r="41" ht="18" customHeight="1">
      <c r="A41" s="409" t="inlineStr">
        <is>
          <t>Company</t>
        </is>
      </c>
      <c r="B41" s="409" t="inlineStr">
        <is>
          <t>Country</t>
        </is>
      </c>
      <c r="C41" s="409" t="inlineStr">
        <is>
          <t>Ticker</t>
        </is>
      </c>
      <c r="D41" s="410" t="inlineStr">
        <is>
          <t>Market Valuation</t>
        </is>
      </c>
      <c r="E41" s="535" t="n"/>
      <c r="F41" s="535" t="n"/>
      <c r="G41" s="410" t="inlineStr">
        <is>
          <t>Financial Performance (NTM)</t>
        </is>
      </c>
      <c r="H41" s="535" t="n"/>
      <c r="I41" s="535" t="n"/>
      <c r="J41" s="410" t="inlineStr">
        <is>
          <t>Multiples</t>
        </is>
      </c>
      <c r="K41" s="535" t="n"/>
      <c r="L41" s="535" t="n"/>
    </row>
    <row r="42" ht="18" customHeight="1">
      <c r="D42" s="161" t="inlineStr">
        <is>
          <t>Price</t>
        </is>
      </c>
      <c r="E42" s="161" t="inlineStr">
        <is>
          <t>Market Cap</t>
        </is>
      </c>
      <c r="F42" s="161" t="inlineStr">
        <is>
          <t>TEV</t>
        </is>
      </c>
      <c r="G42" s="161" t="inlineStr">
        <is>
          <t>Sales</t>
        </is>
      </c>
      <c r="H42" s="161" t="inlineStr">
        <is>
          <t>EBITDA</t>
        </is>
      </c>
      <c r="I42" s="161" t="inlineStr">
        <is>
          <t>Net Income</t>
        </is>
      </c>
      <c r="J42" s="162" t="inlineStr">
        <is>
          <t>EV/EBITDA</t>
        </is>
      </c>
      <c r="K42" s="162" t="inlineStr">
        <is>
          <t>EV/Sales</t>
        </is>
      </c>
      <c r="L42" s="162" t="inlineStr">
        <is>
          <t>P/E</t>
        </is>
      </c>
    </row>
    <row r="43" ht="18" customHeight="1">
      <c r="A43" s="166" t="inlineStr">
        <is>
          <t>Mercury Systems Inc</t>
        </is>
      </c>
      <c r="B43" s="166" t="inlineStr">
        <is>
          <t>USA</t>
        </is>
      </c>
      <c r="C43" s="166" t="inlineStr">
        <is>
          <t>MRCY</t>
        </is>
      </c>
      <c r="D43" s="538" t="n">
        <v>48.31</v>
      </c>
      <c r="E43" s="170" t="inlineStr">
        <is>
          <t>$ 2.97B</t>
        </is>
      </c>
      <c r="F43" s="166" t="n">
        <v>2012.73</v>
      </c>
      <c r="G43" s="166" t="n">
        <v>881.99</v>
      </c>
      <c r="H43" s="166" t="n">
        <v>103.1</v>
      </c>
      <c r="I43" s="166" t="n">
        <v>23.33</v>
      </c>
      <c r="J43" s="168" t="n">
        <v>31.19</v>
      </c>
      <c r="K43" s="168" t="n">
        <v>3.67</v>
      </c>
      <c r="L43" s="168" t="n">
        <v>68.79000000000001</v>
      </c>
    </row>
    <row r="44" ht="18" customHeight="1">
      <c r="A44" s="163" t="inlineStr">
        <is>
          <t>HEICO Corp</t>
        </is>
      </c>
      <c r="B44" s="163" t="inlineStr">
        <is>
          <t>USA</t>
        </is>
      </c>
      <c r="C44" s="163" t="inlineStr">
        <is>
          <t>HEI</t>
        </is>
      </c>
      <c r="D44" s="536" t="n">
        <v>246.35</v>
      </c>
      <c r="E44" s="163" t="inlineStr">
        <is>
          <t>$ 29.72B</t>
        </is>
      </c>
      <c r="F44" s="163" t="n">
        <v>32009.45</v>
      </c>
      <c r="G44" s="163" t="n">
        <v>4298</v>
      </c>
      <c r="H44" s="163" t="n">
        <v>1145</v>
      </c>
      <c r="I44" s="163" t="n">
        <v>627.84</v>
      </c>
      <c r="J44" s="165" t="n">
        <v>31.78</v>
      </c>
      <c r="K44" s="165" t="n">
        <v>8.300000000000001</v>
      </c>
      <c r="L44" s="165" t="n">
        <v>60.03</v>
      </c>
    </row>
    <row r="45" ht="18" customHeight="1">
      <c r="A45" s="166" t="inlineStr">
        <is>
          <t>TransDigm Group</t>
        </is>
      </c>
      <c r="B45" s="166" t="inlineStr">
        <is>
          <t>USA</t>
        </is>
      </c>
      <c r="C45" s="166" t="inlineStr">
        <is>
          <t>TDG</t>
        </is>
      </c>
      <c r="D45" s="537" t="n">
        <v>1362.31</v>
      </c>
      <c r="E45" s="166" t="inlineStr">
        <is>
          <t>$ 75.83B</t>
        </is>
      </c>
      <c r="F45" s="166" t="n">
        <v>94472.03999999999</v>
      </c>
      <c r="G45" s="166" t="n">
        <v>8880</v>
      </c>
      <c r="H45" s="166" t="n">
        <v>4710</v>
      </c>
      <c r="I45" s="166" t="n">
        <v>2175</v>
      </c>
      <c r="J45" s="168" t="n">
        <v>23.86</v>
      </c>
      <c r="K45" s="168" t="n">
        <v>11.9</v>
      </c>
      <c r="L45" s="168" t="n">
        <v>48.22</v>
      </c>
    </row>
    <row r="46" ht="18" customHeight="1">
      <c r="A46" s="166" t="inlineStr">
        <is>
          <t>Curtiss-Wright Corp</t>
        </is>
      </c>
      <c r="B46" s="166" t="inlineStr">
        <is>
          <t>USA</t>
        </is>
      </c>
      <c r="C46" s="166" t="inlineStr">
        <is>
          <t>CW</t>
        </is>
      </c>
      <c r="D46" s="538" t="n">
        <v>325</v>
      </c>
      <c r="E46" s="170" t="inlineStr">
        <is>
          <t>$ 12.65B</t>
        </is>
      </c>
      <c r="F46" s="166" t="n">
        <v>14137.32</v>
      </c>
      <c r="G46" s="166" t="n">
        <v>3361</v>
      </c>
      <c r="H46" s="166" t="n">
        <v>721.87</v>
      </c>
      <c r="I46" s="166" t="n">
        <v>462.96</v>
      </c>
      <c r="J46" s="168" t="n">
        <v>21.67</v>
      </c>
      <c r="K46" s="168" t="n">
        <v>4.53</v>
      </c>
      <c r="L46" s="168" t="n">
        <v>31.79</v>
      </c>
    </row>
    <row r="47" ht="18" customHeight="1">
      <c r="A47" s="166" t="inlineStr">
        <is>
          <t>RTX Corporation</t>
        </is>
      </c>
      <c r="B47" s="166" t="inlineStr">
        <is>
          <t>USA</t>
        </is>
      </c>
      <c r="C47" s="166" t="inlineStr">
        <is>
          <t>RTX</t>
        </is>
      </c>
      <c r="D47" s="538" t="n">
        <v>121.05</v>
      </c>
      <c r="E47" s="170" t="inlineStr">
        <is>
          <t>$ 162.95B</t>
        </is>
      </c>
      <c r="F47" s="166" t="n">
        <v>191638.25</v>
      </c>
      <c r="G47" s="166" t="n">
        <v>84224</v>
      </c>
      <c r="H47" s="166" t="n">
        <v>13732</v>
      </c>
      <c r="I47" s="166" t="n">
        <v>8131</v>
      </c>
      <c r="J47" s="168" t="n">
        <v>13.61</v>
      </c>
      <c r="K47" s="168" t="n">
        <v>2.37</v>
      </c>
      <c r="L47" s="168" t="n">
        <v>35.76</v>
      </c>
    </row>
    <row r="48" ht="18" customHeight="1">
      <c r="A48" s="171" t="inlineStr">
        <is>
          <t>Mean</t>
        </is>
      </c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3">
        <f>AVERAGE(J43:J47)</f>
        <v/>
      </c>
      <c r="K48" s="173">
        <f>AVERAGE(K43:K47)</f>
        <v/>
      </c>
      <c r="L48" s="173">
        <f>MEDIAN(L43:L47)</f>
        <v/>
      </c>
    </row>
    <row r="49" ht="18" customHeight="1">
      <c r="A49" s="174" t="inlineStr">
        <is>
          <t>Median</t>
        </is>
      </c>
      <c r="B49" s="166" t="n"/>
      <c r="C49" s="166" t="n"/>
      <c r="D49" s="166" t="n"/>
      <c r="E49" s="166" t="n"/>
      <c r="F49" s="166" t="n"/>
      <c r="G49" s="166" t="n"/>
      <c r="H49" s="166" t="n"/>
      <c r="I49" s="166" t="n"/>
      <c r="J49" s="175">
        <f>MEDIAN(J43:J47)</f>
        <v/>
      </c>
      <c r="K49" s="175">
        <f>MEDIAN(K43:K47)</f>
        <v/>
      </c>
      <c r="L49" s="175">
        <f>AVERAGE(L43:L47)</f>
        <v/>
      </c>
    </row>
  </sheetData>
  <mergeCells count="25">
    <mergeCell ref="B27:B28"/>
    <mergeCell ref="D13:F13"/>
    <mergeCell ref="D27:F27"/>
    <mergeCell ref="A25:L25"/>
    <mergeCell ref="G13:I13"/>
    <mergeCell ref="D41:F41"/>
    <mergeCell ref="J27:L27"/>
    <mergeCell ref="A41:A42"/>
    <mergeCell ref="A1:B1"/>
    <mergeCell ref="A12:L12"/>
    <mergeCell ref="A27:A28"/>
    <mergeCell ref="J41:L41"/>
    <mergeCell ref="B13:B14"/>
    <mergeCell ref="C41:C42"/>
    <mergeCell ref="D4:O4"/>
    <mergeCell ref="D3:O3"/>
    <mergeCell ref="G41:I41"/>
    <mergeCell ref="A13:A14"/>
    <mergeCell ref="C27:C28"/>
    <mergeCell ref="A39:L39"/>
    <mergeCell ref="C13:C14"/>
    <mergeCell ref="G27:I27"/>
    <mergeCell ref="A11:L11"/>
    <mergeCell ref="J13:L13"/>
    <mergeCell ref="B41:B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5" defaultRowHeight="15" customHeight="1"/>
  <cols>
    <col width="11.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tabSelected="1" zoomScale="141" workbookViewId="0">
      <selection activeCell="A1" sqref="A1"/>
    </sheetView>
  </sheetViews>
  <sheetFormatPr baseColWidth="10" defaultColWidth="11.5" defaultRowHeight="14"/>
  <cols>
    <col width="29.83203125" bestFit="1" customWidth="1" style="70" min="1" max="1"/>
    <col width="13.6640625" customWidth="1" style="70" min="2" max="2"/>
    <col width="11.83203125" bestFit="1" customWidth="1" style="70" min="3" max="4"/>
    <col width="15" customWidth="1" style="70" min="5" max="5"/>
    <col width="11.83203125" bestFit="1" customWidth="1" style="70" min="6" max="8"/>
    <col width="14.83203125" bestFit="1" customWidth="1" style="70" min="9" max="9"/>
    <col width="11.83203125" bestFit="1" customWidth="1" style="70" min="10" max="10"/>
    <col width="11.5" customWidth="1" style="70" min="11" max="16384"/>
  </cols>
  <sheetData>
    <row r="1" ht="28" customHeight="1">
      <c r="A1" s="539" t="inlineStr">
        <is>
          <t>HEI | Statement App | Income Statement</t>
        </is>
      </c>
      <c r="B1" s="540" t="n"/>
      <c r="C1" s="540" t="inlineStr">
        <is>
          <t>25-Apr-2025</t>
        </is>
      </c>
      <c r="H1" s="215" t="n"/>
      <c r="I1" s="215" t="n"/>
      <c r="J1" s="215" t="n"/>
      <c r="K1" s="215" t="n"/>
      <c r="L1" s="215" t="n"/>
      <c r="M1" s="215" t="n"/>
      <c r="N1" s="215" t="n"/>
      <c r="O1" s="215" t="n"/>
      <c r="P1" s="215" t="n"/>
      <c r="Q1" s="215" t="n"/>
    </row>
    <row r="2">
      <c r="A2" s="539" t="inlineStr">
        <is>
          <t>  </t>
        </is>
      </c>
      <c r="B2" s="540" t="n"/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</row>
    <row r="3">
      <c r="A3" s="539" t="inlineStr">
        <is>
          <t>Consolidated | USD</t>
        </is>
      </c>
      <c r="B3" s="540" t="n"/>
      <c r="C3" s="215" t="n"/>
      <c r="D3" s="215" t="n"/>
      <c r="E3" s="215" t="n"/>
      <c r="F3" s="215" t="n"/>
      <c r="G3" s="215" t="n"/>
      <c r="H3" s="215" t="n"/>
      <c r="I3" s="215" t="n"/>
      <c r="J3" s="215" t="n"/>
      <c r="K3" s="215" t="n"/>
      <c r="L3" s="215" t="n"/>
      <c r="M3" s="215" t="n"/>
      <c r="N3" s="215" t="n"/>
      <c r="O3" s="215" t="n"/>
      <c r="P3" s="215" t="n"/>
      <c r="Q3" s="215" t="n"/>
    </row>
    <row r="5">
      <c r="A5" s="539" t="inlineStr">
        <is>
          <t>Next Earning Report</t>
        </is>
      </c>
      <c r="B5" s="540" t="n"/>
      <c r="C5" s="541" t="inlineStr">
        <is>
          <t>26-May-2025</t>
        </is>
      </c>
    </row>
    <row r="7" ht="28" customHeight="1">
      <c r="A7" s="542" t="inlineStr"/>
      <c r="B7" s="542" t="n"/>
      <c r="C7" s="543" t="inlineStr"/>
      <c r="D7" s="544" t="inlineStr"/>
      <c r="E7" s="545" t="inlineStr">
        <is>
          <t>HISTORICAL (ACTUALS)</t>
        </is>
      </c>
      <c r="F7" s="546" t="inlineStr">
        <is>
          <t>FORECAST (MEAN)</t>
        </is>
      </c>
      <c r="G7" s="547" t="n"/>
      <c r="H7" s="548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</row>
    <row r="8">
      <c r="A8" s="549" t="inlineStr"/>
      <c r="B8" s="550" t="inlineStr">
        <is>
          <t>FY Oct-21</t>
        </is>
      </c>
      <c r="C8" s="550" t="inlineStr">
        <is>
          <t>FY Oct-22</t>
        </is>
      </c>
      <c r="D8" s="550" t="inlineStr">
        <is>
          <t>FY Oct-23</t>
        </is>
      </c>
      <c r="E8" s="550" t="inlineStr">
        <is>
          <t>FY Oct-24</t>
        </is>
      </c>
      <c r="F8" s="551" t="inlineStr">
        <is>
          <t>FY Oct-25</t>
        </is>
      </c>
      <c r="G8" s="546" t="inlineStr">
        <is>
          <t>FY Oct-26</t>
        </is>
      </c>
      <c r="H8" s="546" t="inlineStr">
        <is>
          <t>FY Oct-27</t>
        </is>
      </c>
      <c r="I8" s="215" t="n">
        <v>2028</v>
      </c>
      <c r="J8" s="215" t="n">
        <v>2029</v>
      </c>
      <c r="K8" s="215" t="n"/>
      <c r="L8" s="215" t="n"/>
      <c r="M8" s="215" t="n"/>
      <c r="N8" s="215" t="n"/>
      <c r="O8" s="215" t="n"/>
      <c r="P8" s="215" t="n"/>
      <c r="Q8" s="215" t="n"/>
    </row>
    <row r="9">
      <c r="A9" s="552" t="inlineStr">
        <is>
          <t>REVENUE</t>
        </is>
      </c>
      <c r="B9" s="552" t="n">
        <v>1865.682</v>
      </c>
      <c r="C9" s="553" t="n">
        <v>2208.322</v>
      </c>
      <c r="D9" s="553" t="n">
        <v>2968.105</v>
      </c>
      <c r="E9" s="553" t="n">
        <v>3857.669</v>
      </c>
      <c r="F9" s="554" t="n">
        <v>4297.70816</v>
      </c>
      <c r="G9" s="553" t="n">
        <v>4610.7225</v>
      </c>
      <c r="H9" s="553" t="n">
        <v>4921.9458</v>
      </c>
      <c r="I9" s="215" t="n"/>
      <c r="J9" s="215" t="n"/>
      <c r="K9" s="215" t="n"/>
      <c r="L9" s="215" t="n"/>
      <c r="M9" s="215" t="n"/>
      <c r="N9" s="215" t="n"/>
      <c r="O9" s="215" t="n"/>
      <c r="P9" s="215" t="n"/>
      <c r="Q9" s="215" t="n"/>
    </row>
    <row r="10">
      <c r="A10" s="555" t="inlineStr">
        <is>
          <t xml:space="preserve">        ELECTRONIC TECHNOLOGIES GROUP</t>
        </is>
      </c>
      <c r="B10" s="555" t="n"/>
      <c r="C10" s="556" t="n"/>
      <c r="D10" s="556" t="n"/>
      <c r="E10" s="556" t="n"/>
      <c r="F10" s="554" t="n"/>
      <c r="G10" s="556" t="n"/>
      <c r="H10" s="556" t="n"/>
      <c r="I10" s="215" t="n"/>
      <c r="J10" s="215" t="n"/>
      <c r="K10" s="215" t="n"/>
      <c r="L10" s="215" t="n"/>
      <c r="M10" s="215" t="n"/>
      <c r="N10" s="215" t="n"/>
      <c r="O10" s="215" t="n"/>
      <c r="P10" s="215" t="n"/>
      <c r="Q10" s="215" t="n"/>
    </row>
    <row r="11">
      <c r="A11" s="555" t="inlineStr">
        <is>
          <t>Defense, Space, Aerospace</t>
        </is>
      </c>
      <c r="B11" s="555" t="n">
        <v>709.621</v>
      </c>
      <c r="C11" s="556" t="n">
        <v>672.147</v>
      </c>
      <c r="D11" s="556" t="n">
        <v>918.374</v>
      </c>
      <c r="E11" s="556" t="n">
        <v>1004.511</v>
      </c>
      <c r="F11" s="554">
        <f>E11*(1+F12)</f>
        <v/>
      </c>
      <c r="G11" s="554">
        <f>F11*(1+G12)</f>
        <v/>
      </c>
      <c r="H11" s="554">
        <f>G11*(1+H12)</f>
        <v/>
      </c>
      <c r="I11" s="554">
        <f>H11*(1+I12)</f>
        <v/>
      </c>
      <c r="J11" s="554">
        <f>I11*(1+J12)</f>
        <v/>
      </c>
      <c r="K11" s="229" t="n"/>
      <c r="L11" s="229" t="n"/>
      <c r="M11" s="229" t="n"/>
      <c r="N11" s="229" t="n"/>
      <c r="O11" s="229" t="n"/>
      <c r="P11" s="229" t="n"/>
      <c r="Q11" s="229" t="n"/>
    </row>
    <row r="12">
      <c r="A12" s="555" t="inlineStr">
        <is>
          <t>Growth %</t>
        </is>
      </c>
      <c r="B12" s="555" t="n"/>
      <c r="C12" s="230">
        <f>C11/B11-1</f>
        <v/>
      </c>
      <c r="D12" s="230">
        <f>(D11-C11)/C11</f>
        <v/>
      </c>
      <c r="E12" s="230">
        <f>(E11-D11)/D11</f>
        <v/>
      </c>
      <c r="F12" s="231">
        <f>CHOOSE('Costs &amp; Expenses Build'!$C$5,F13,F14,F15)</f>
        <v/>
      </c>
      <c r="G12" s="231">
        <f>CHOOSE('Costs &amp; Expenses Build'!$C$5,G13,G14,G15)</f>
        <v/>
      </c>
      <c r="H12" s="231">
        <f>CHOOSE('Costs &amp; Expenses Build'!$C$5,H13,H14,H15)</f>
        <v/>
      </c>
      <c r="I12" s="231">
        <f>CHOOSE('Costs &amp; Expenses Build'!$C$5,I13,I14,I15)</f>
        <v/>
      </c>
      <c r="J12" s="231">
        <f>CHOOSE('Costs &amp; Expenses Build'!$C$5,J13,J14,J15)</f>
        <v/>
      </c>
      <c r="K12" s="229" t="n"/>
      <c r="L12" s="229" t="n"/>
      <c r="M12" s="229" t="n"/>
      <c r="N12" s="229" t="n"/>
      <c r="O12" s="229" t="n"/>
      <c r="P12" s="229" t="n"/>
      <c r="Q12" s="229" t="n"/>
    </row>
    <row r="13">
      <c r="A13" s="557" t="inlineStr">
        <is>
          <t>Bear</t>
        </is>
      </c>
      <c r="B13" s="557" t="n"/>
      <c r="C13" s="556" t="n"/>
      <c r="D13" s="556" t="n"/>
      <c r="E13" s="556" t="n"/>
      <c r="F13" s="554">
        <f>F14-2%</f>
        <v/>
      </c>
      <c r="G13" s="554">
        <f>G14-2%</f>
        <v/>
      </c>
      <c r="H13" s="554">
        <f>H14-2%</f>
        <v/>
      </c>
      <c r="I13" s="554">
        <f>I14-2%</f>
        <v/>
      </c>
      <c r="J13" s="554">
        <f>J14-2%</f>
        <v/>
      </c>
      <c r="K13" s="229" t="n"/>
      <c r="L13" s="229" t="n"/>
      <c r="M13" s="229" t="n"/>
      <c r="N13" s="229" t="n"/>
      <c r="O13" s="229" t="n"/>
      <c r="P13" s="229" t="n"/>
      <c r="Q13" s="229" t="n"/>
    </row>
    <row r="14">
      <c r="A14" s="555" t="inlineStr">
        <is>
          <t>Base</t>
        </is>
      </c>
      <c r="B14" s="555" t="n"/>
      <c r="C14" s="556" t="n"/>
      <c r="D14" s="556" t="n"/>
      <c r="E14" s="556" t="n"/>
      <c r="F14" s="231">
        <f>AVERAGE(C12:E12)-3%</f>
        <v/>
      </c>
      <c r="G14" s="556">
        <f>AVERAGE(D12,E12,F14)</f>
        <v/>
      </c>
      <c r="H14" s="556">
        <f>AVERAGE(E12,F14,G14)</f>
        <v/>
      </c>
      <c r="I14" s="233">
        <f>AVERAGE(F14:H14)</f>
        <v/>
      </c>
      <c r="J14" s="234">
        <f>AVERAGE(G14:I14)</f>
        <v/>
      </c>
      <c r="K14" s="234" t="n"/>
      <c r="L14" s="229" t="n"/>
      <c r="M14" s="229" t="n"/>
      <c r="N14" s="229" t="n"/>
      <c r="O14" s="229" t="n"/>
      <c r="P14" s="229" t="n"/>
      <c r="Q14" s="229" t="n"/>
    </row>
    <row r="15">
      <c r="A15" s="555" t="inlineStr">
        <is>
          <t>Bull</t>
        </is>
      </c>
      <c r="B15" s="555" t="n"/>
      <c r="C15" s="556" t="n"/>
      <c r="D15" s="556" t="n"/>
      <c r="E15" s="556" t="n"/>
      <c r="F15" s="554">
        <f>F14+2%</f>
        <v/>
      </c>
      <c r="G15" s="554">
        <f>G14+2%</f>
        <v/>
      </c>
      <c r="H15" s="554">
        <f>H14+2%</f>
        <v/>
      </c>
      <c r="I15" s="554">
        <f>I14+2%</f>
        <v/>
      </c>
      <c r="J15" s="554">
        <f>J14+2%</f>
        <v/>
      </c>
      <c r="K15" s="229" t="n"/>
      <c r="L15" s="229" t="n"/>
      <c r="M15" s="229" t="n"/>
      <c r="N15" s="229" t="n"/>
      <c r="O15" s="229" t="n"/>
      <c r="P15" s="229" t="n"/>
      <c r="Q15" s="229" t="n"/>
    </row>
    <row r="16">
      <c r="A16" s="555" t="inlineStr">
        <is>
          <t>Other Industries</t>
        </is>
      </c>
      <c r="B16" s="555" t="n">
        <v>249.582</v>
      </c>
      <c r="C16" s="556" t="n">
        <v>300.328</v>
      </c>
      <c r="D16" s="556" t="n">
        <v>306.848</v>
      </c>
      <c r="E16" s="556" t="n">
        <v>259.115</v>
      </c>
      <c r="F16" s="554">
        <f>E16*(1+F17)</f>
        <v/>
      </c>
      <c r="G16" s="554">
        <f>F16*(1+G17)</f>
        <v/>
      </c>
      <c r="H16" s="554">
        <f>G16*(1+H17)</f>
        <v/>
      </c>
      <c r="I16" s="554">
        <f>H16*(1+I17)</f>
        <v/>
      </c>
      <c r="J16" s="554">
        <f>I16*(1+J17)</f>
        <v/>
      </c>
      <c r="K16" s="229" t="n"/>
      <c r="L16" s="229" t="n"/>
      <c r="M16" s="229" t="n"/>
      <c r="N16" s="229" t="n"/>
      <c r="O16" s="229" t="n"/>
      <c r="P16" s="229" t="n"/>
      <c r="Q16" s="229" t="n"/>
    </row>
    <row r="17">
      <c r="A17" s="558" t="inlineStr">
        <is>
          <t>Growth %</t>
        </is>
      </c>
      <c r="B17" s="558" t="n"/>
      <c r="C17" s="236">
        <f>(C16-B16)/B16</f>
        <v/>
      </c>
      <c r="D17" s="236">
        <f>(D16-C16)/C16</f>
        <v/>
      </c>
      <c r="E17" s="236">
        <f>(E16-D16)/D16</f>
        <v/>
      </c>
      <c r="F17" s="237">
        <f>CHOOSE('Costs &amp; Expenses Build'!$C$5,F18,F19,F20)</f>
        <v/>
      </c>
      <c r="G17" s="238">
        <f>CHOOSE('Costs &amp; Expenses Build'!$C$5,G18,G19,G20)</f>
        <v/>
      </c>
      <c r="H17" s="238">
        <f>CHOOSE('Costs &amp; Expenses Build'!$C$5,H18,H19,H20)</f>
        <v/>
      </c>
      <c r="I17" s="238">
        <f>CHOOSE('Costs &amp; Expenses Build'!$C$5,I18,I19,I20)</f>
        <v/>
      </c>
      <c r="J17" s="238">
        <f>CHOOSE('Costs &amp; Expenses Build'!$C$5,J18,J19,J20)</f>
        <v/>
      </c>
      <c r="K17" s="229" t="n"/>
      <c r="L17" s="229" t="n"/>
      <c r="M17" s="229" t="n"/>
      <c r="N17" s="229" t="n"/>
      <c r="O17" s="229" t="n"/>
      <c r="P17" s="229" t="n"/>
      <c r="Q17" s="229" t="n"/>
    </row>
    <row r="18">
      <c r="A18" s="558" t="inlineStr">
        <is>
          <t>Bear</t>
        </is>
      </c>
      <c r="B18" s="558" t="n"/>
      <c r="C18" s="559" t="n"/>
      <c r="D18" s="559" t="n"/>
      <c r="E18" s="559" t="n"/>
      <c r="F18" s="240">
        <f>F19-0.5%</f>
        <v/>
      </c>
      <c r="G18" s="241">
        <f>G19-0.5%</f>
        <v/>
      </c>
      <c r="H18" s="241">
        <f>H19-0.5%</f>
        <v/>
      </c>
      <c r="I18" s="242">
        <f>I19-0.5%</f>
        <v/>
      </c>
      <c r="J18" s="242">
        <f>J19-0.5%</f>
        <v/>
      </c>
      <c r="K18" s="229" t="n"/>
      <c r="L18" s="229" t="n"/>
      <c r="M18" s="229" t="n"/>
      <c r="N18" s="229" t="n"/>
      <c r="O18" s="229" t="n"/>
      <c r="P18" s="229" t="n"/>
      <c r="Q18" s="229" t="n"/>
    </row>
    <row r="19">
      <c r="A19" s="558" t="inlineStr">
        <is>
          <t>Base</t>
        </is>
      </c>
      <c r="B19" s="558" t="n"/>
      <c r="C19" s="559" t="n"/>
      <c r="D19" s="559" t="n"/>
      <c r="E19" s="559" t="n"/>
      <c r="F19" s="560">
        <f>AVERAGE(C17:E17)</f>
        <v/>
      </c>
      <c r="G19" s="236">
        <f>AVERAGE(D17,E17,F19)</f>
        <v/>
      </c>
      <c r="H19" s="236">
        <f>AVERAGE(E17,F19,G19)</f>
        <v/>
      </c>
      <c r="I19" s="230">
        <f>AVERAGE(F17,G19,H19)</f>
        <v/>
      </c>
      <c r="J19" s="230">
        <f>AVERAGE(G17,H19,I19)</f>
        <v/>
      </c>
      <c r="K19" s="229" t="n"/>
      <c r="L19" s="229" t="n"/>
      <c r="M19" s="229" t="n"/>
      <c r="N19" s="229" t="n"/>
      <c r="O19" s="229" t="n"/>
      <c r="P19" s="229" t="n"/>
      <c r="Q19" s="229" t="n"/>
    </row>
    <row r="20">
      <c r="A20" s="70" t="inlineStr">
        <is>
          <t>Bull</t>
        </is>
      </c>
      <c r="F20" s="244">
        <f>F19+0.5%</f>
        <v/>
      </c>
      <c r="G20" s="244">
        <f>G19+0.5%</f>
        <v/>
      </c>
      <c r="H20" s="244">
        <f>H19+0.5%</f>
        <v/>
      </c>
      <c r="I20" s="242">
        <f>I19+0.5%</f>
        <v/>
      </c>
      <c r="J20" s="242">
        <f>J19+0.5%</f>
        <v/>
      </c>
    </row>
    <row r="21">
      <c r="A21" s="557" t="inlineStr">
        <is>
          <t>Total Sector Sells</t>
        </is>
      </c>
      <c r="B21" s="555" t="n"/>
      <c r="C21" s="556" t="n">
        <v>972.475</v>
      </c>
      <c r="D21" s="556" t="n">
        <v>1225.22</v>
      </c>
      <c r="E21" s="556" t="n">
        <v>1263.626</v>
      </c>
      <c r="F21" s="554">
        <f>F11+F16</f>
        <v/>
      </c>
      <c r="G21" s="554">
        <f>G11+G16</f>
        <v/>
      </c>
      <c r="H21" s="554">
        <f>H11+H16</f>
        <v/>
      </c>
      <c r="I21" s="554">
        <f>I11+I16</f>
        <v/>
      </c>
      <c r="J21" s="554">
        <f>J11+J16</f>
        <v/>
      </c>
    </row>
    <row r="23">
      <c r="A23" s="555" t="inlineStr">
        <is>
          <t xml:space="preserve">        FLIGHT SUPPORT GROUP</t>
        </is>
      </c>
      <c r="B23" s="555" t="n">
        <v>927.0890000000001</v>
      </c>
      <c r="C23" s="556" t="n">
        <v>1255.212</v>
      </c>
      <c r="D23" s="556" t="n">
        <v>1770.185</v>
      </c>
      <c r="E23" s="556" t="n">
        <v>2639.354</v>
      </c>
      <c r="F23" s="554" t="n">
        <v>2973.929</v>
      </c>
      <c r="G23" s="556" t="n">
        <v>3170.05467</v>
      </c>
      <c r="H23" s="556" t="n">
        <v>3381.7</v>
      </c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</row>
    <row r="24">
      <c r="A24" s="555" t="inlineStr">
        <is>
          <t>Aftermarket</t>
        </is>
      </c>
      <c r="B24" s="555" t="n">
        <v>535.217</v>
      </c>
      <c r="C24" s="556" t="n">
        <v>694.9</v>
      </c>
      <c r="D24" s="556" t="n">
        <v>1040.502</v>
      </c>
      <c r="E24" s="556" t="n">
        <v>1658.431</v>
      </c>
      <c r="F24" s="554">
        <f>E24*(1+F25)</f>
        <v/>
      </c>
      <c r="G24" s="554">
        <f>F24*(1+G25)</f>
        <v/>
      </c>
      <c r="H24" s="554">
        <f>G24*(1+H25)</f>
        <v/>
      </c>
      <c r="I24" s="554">
        <f>H24*(1+I25)</f>
        <v/>
      </c>
      <c r="J24" s="554">
        <f>I24*(1+J25)</f>
        <v/>
      </c>
    </row>
    <row r="25">
      <c r="A25" s="561" t="inlineStr">
        <is>
          <t>Growth %</t>
        </is>
      </c>
      <c r="B25" s="555" t="n"/>
      <c r="C25" s="246">
        <f>(C24-B24)/B24</f>
        <v/>
      </c>
      <c r="D25" s="246">
        <f>(D24-C24)/C24</f>
        <v/>
      </c>
      <c r="E25" s="246">
        <f>(E24-D24)/D24</f>
        <v/>
      </c>
      <c r="F25" s="554">
        <f>CHOOSE('Costs &amp; Expenses Build'!$C$5,F26,F27,F28)</f>
        <v/>
      </c>
      <c r="G25" s="554">
        <f>CHOOSE('Costs &amp; Expenses Build'!$C$5,G26,G27,G28)</f>
        <v/>
      </c>
      <c r="H25" s="554">
        <f>CHOOSE('Costs &amp; Expenses Build'!$C$5,H26,H27,H28)</f>
        <v/>
      </c>
      <c r="I25" s="554">
        <f>CHOOSE('Costs &amp; Expenses Build'!$C$5,I26,I27,I28)</f>
        <v/>
      </c>
      <c r="J25" s="554">
        <f>CHOOSE('Costs &amp; Expenses Build'!$C$5,J26,J27,J28)</f>
        <v/>
      </c>
      <c r="K25" s="215" t="n"/>
      <c r="L25" s="215" t="n"/>
      <c r="M25" s="215" t="n"/>
      <c r="N25" s="215" t="n"/>
      <c r="O25" s="215" t="n"/>
      <c r="P25" s="215" t="n"/>
      <c r="Q25" s="215" t="n"/>
    </row>
    <row r="26">
      <c r="A26" s="557" t="inlineStr">
        <is>
          <t>Bear</t>
        </is>
      </c>
      <c r="B26" s="557" t="n"/>
      <c r="C26" s="556" t="n"/>
      <c r="D26" s="556" t="n"/>
      <c r="E26" s="556" t="n"/>
      <c r="F26" s="231">
        <f>F27-3%</f>
        <v/>
      </c>
      <c r="G26" s="231">
        <f>G27-3%</f>
        <v/>
      </c>
      <c r="H26" s="231">
        <f>H27-3%</f>
        <v/>
      </c>
      <c r="I26" s="231">
        <f>I27-3%</f>
        <v/>
      </c>
      <c r="J26" s="231">
        <f>J27-3%</f>
        <v/>
      </c>
      <c r="K26" s="229" t="n"/>
      <c r="L26" s="229" t="n"/>
      <c r="M26" s="229" t="n"/>
      <c r="N26" s="229" t="n"/>
      <c r="O26" s="229" t="n"/>
      <c r="P26" s="229" t="n"/>
      <c r="Q26" s="229" t="n"/>
    </row>
    <row r="27">
      <c r="A27" s="555" t="inlineStr">
        <is>
          <t>Base</t>
        </is>
      </c>
      <c r="B27" s="555" t="n"/>
      <c r="C27" s="556" t="n"/>
      <c r="D27" s="556" t="n"/>
      <c r="E27" s="556" t="n"/>
      <c r="F27" s="231">
        <f>E25-40%</f>
        <v/>
      </c>
      <c r="G27" s="231">
        <f>F25-5%</f>
        <v/>
      </c>
      <c r="H27" s="231">
        <f>G25-2%</f>
        <v/>
      </c>
      <c r="I27" s="231">
        <f>H25-2%</f>
        <v/>
      </c>
      <c r="J27" s="231">
        <f>I25-2%</f>
        <v/>
      </c>
      <c r="K27" s="215" t="n"/>
      <c r="L27" s="215" t="n"/>
      <c r="M27" s="215" t="n"/>
      <c r="N27" s="215" t="n"/>
      <c r="O27" s="215" t="n"/>
      <c r="P27" s="215" t="n"/>
      <c r="Q27" s="215" t="n"/>
    </row>
    <row r="28">
      <c r="A28" s="555" t="inlineStr">
        <is>
          <t>Bull</t>
        </is>
      </c>
      <c r="B28" s="555" t="n"/>
      <c r="C28" s="556" t="n"/>
      <c r="D28" s="556" t="n"/>
      <c r="E28" s="556" t="n"/>
      <c r="F28" s="231">
        <f>F27+3%</f>
        <v/>
      </c>
      <c r="G28" s="231">
        <f>G27+3%</f>
        <v/>
      </c>
      <c r="H28" s="231">
        <f>H27+3%</f>
        <v/>
      </c>
      <c r="I28" s="231">
        <f>I27+3%</f>
        <v/>
      </c>
      <c r="J28" s="231">
        <f>J27+3%</f>
        <v/>
      </c>
      <c r="K28" s="215" t="n"/>
      <c r="L28" s="215" t="n"/>
      <c r="M28" s="215" t="n"/>
      <c r="N28" s="215" t="n"/>
      <c r="O28" s="215" t="n"/>
      <c r="P28" s="215" t="n"/>
      <c r="Q28" s="215" t="n"/>
    </row>
    <row r="29">
      <c r="A29" s="555" t="inlineStr">
        <is>
          <t>Repair and overhaul parts and services</t>
        </is>
      </c>
      <c r="B29" s="555" t="n">
        <v>208.215</v>
      </c>
      <c r="C29" s="556" t="n">
        <v>264.986</v>
      </c>
      <c r="D29" s="556" t="n">
        <v>366.566</v>
      </c>
      <c r="E29" s="556" t="n">
        <v>593.237</v>
      </c>
      <c r="F29" s="554">
        <f>E29*(1+F30)</f>
        <v/>
      </c>
      <c r="G29" s="554">
        <f>F29*(1+G30)</f>
        <v/>
      </c>
      <c r="H29" s="554">
        <f>G29*(1+H30)</f>
        <v/>
      </c>
      <c r="I29" s="554">
        <f>H29*(1+I30)</f>
        <v/>
      </c>
      <c r="J29" s="554">
        <f>I29*(1+J30)</f>
        <v/>
      </c>
      <c r="K29" s="215" t="n"/>
      <c r="L29" s="215" t="n"/>
      <c r="M29" s="215" t="n"/>
      <c r="N29" s="215" t="n"/>
      <c r="O29" s="215" t="n"/>
      <c r="P29" s="215" t="n"/>
      <c r="Q29" s="215" t="n"/>
    </row>
    <row r="30">
      <c r="A30" s="561" t="inlineStr">
        <is>
          <t>Growth %</t>
        </is>
      </c>
      <c r="B30" s="561" t="n"/>
      <c r="C30" s="246">
        <f>(C29-B29)/B29</f>
        <v/>
      </c>
      <c r="D30" s="246">
        <f>(D29-C29)/C29</f>
        <v/>
      </c>
      <c r="E30" s="246">
        <f>(E29-D29)/D29</f>
        <v/>
      </c>
      <c r="F30" s="554">
        <f>CHOOSE('Costs &amp; Expenses Build'!$C$5,F31,F32,F33)</f>
        <v/>
      </c>
      <c r="G30" s="554">
        <f>CHOOSE('Costs &amp; Expenses Build'!$C$5,G31,G32,G33)</f>
        <v/>
      </c>
      <c r="H30" s="554">
        <f>CHOOSE('Costs &amp; Expenses Build'!$C$5,H31,H32,H33)</f>
        <v/>
      </c>
      <c r="I30" s="554">
        <f>CHOOSE('Costs &amp; Expenses Build'!$C$5,I31,I32,I33)</f>
        <v/>
      </c>
      <c r="J30" s="554">
        <f>CHOOSE('Costs &amp; Expenses Build'!$C$5,J31,J32,J33)</f>
        <v/>
      </c>
      <c r="K30" s="229" t="n"/>
      <c r="L30" s="229" t="n"/>
      <c r="M30" s="229" t="n"/>
      <c r="N30" s="229" t="n"/>
      <c r="O30" s="229" t="n"/>
      <c r="P30" s="229" t="n"/>
      <c r="Q30" s="229" t="n"/>
    </row>
    <row r="31">
      <c r="A31" s="557" t="inlineStr">
        <is>
          <t>Bear</t>
        </is>
      </c>
      <c r="B31" s="557" t="n"/>
      <c r="C31" s="556" t="n"/>
      <c r="D31" s="556" t="n"/>
      <c r="E31" s="556" t="n"/>
      <c r="F31" s="231">
        <f>F32-3%</f>
        <v/>
      </c>
      <c r="G31" s="231">
        <f>G32-3%</f>
        <v/>
      </c>
      <c r="H31" s="231">
        <f>H32-3%</f>
        <v/>
      </c>
      <c r="I31" s="231">
        <f>I32-3%</f>
        <v/>
      </c>
      <c r="J31" s="231">
        <f>J32-3%</f>
        <v/>
      </c>
      <c r="K31" s="215" t="n"/>
      <c r="L31" s="215" t="n"/>
      <c r="M31" s="215" t="n"/>
      <c r="N31" s="215" t="n"/>
      <c r="O31" s="215" t="n"/>
      <c r="P31" s="215" t="n"/>
      <c r="Q31" s="215" t="n"/>
    </row>
    <row r="32">
      <c r="A32" s="555" t="inlineStr">
        <is>
          <t>Base</t>
        </is>
      </c>
      <c r="B32" s="555" t="n"/>
      <c r="C32" s="556" t="n"/>
      <c r="D32" s="556" t="n"/>
      <c r="E32" s="556" t="n"/>
      <c r="F32" s="231">
        <f>AVERAGE(C30,D30)</f>
        <v/>
      </c>
      <c r="G32" s="556">
        <f>F32+2%</f>
        <v/>
      </c>
      <c r="H32" s="556">
        <f>G32+2%</f>
        <v/>
      </c>
      <c r="I32" s="556">
        <f>H32+2%</f>
        <v/>
      </c>
      <c r="J32" s="556">
        <f>I32+2%</f>
        <v/>
      </c>
      <c r="K32" s="215" t="n"/>
      <c r="L32" s="215" t="n"/>
      <c r="M32" s="215" t="n"/>
      <c r="N32" s="215" t="n"/>
      <c r="O32" s="215" t="n"/>
      <c r="P32" s="215" t="n"/>
      <c r="Q32" s="215" t="n"/>
    </row>
    <row r="33">
      <c r="A33" s="555" t="inlineStr">
        <is>
          <t>Bull</t>
        </is>
      </c>
      <c r="B33" s="555" t="n"/>
      <c r="C33" s="556" t="n"/>
      <c r="D33" s="556" t="n"/>
      <c r="E33" s="556" t="n"/>
      <c r="F33" s="231">
        <f>F32+3%</f>
        <v/>
      </c>
      <c r="G33" s="231">
        <f>G32+3%</f>
        <v/>
      </c>
      <c r="H33" s="231">
        <f>H32+3%</f>
        <v/>
      </c>
      <c r="I33" s="231">
        <f>I32+3%</f>
        <v/>
      </c>
      <c r="J33" s="231">
        <f>J32+3%</f>
        <v/>
      </c>
      <c r="K33" s="215" t="n"/>
      <c r="L33" s="215" t="n"/>
      <c r="M33" s="215" t="n"/>
      <c r="N33" s="215" t="n"/>
      <c r="O33" s="215" t="n"/>
      <c r="P33" s="215" t="n"/>
      <c r="Q33" s="215" t="n"/>
    </row>
    <row r="34">
      <c r="A34" s="555" t="inlineStr">
        <is>
          <t>Specialty products</t>
        </is>
      </c>
      <c r="B34" s="555" t="n">
        <v>183.567</v>
      </c>
      <c r="C34" s="556" t="n">
        <v>295.326</v>
      </c>
      <c r="D34" s="556" t="n">
        <v>363.117</v>
      </c>
      <c r="E34" s="556" t="n">
        <v>387.686</v>
      </c>
      <c r="F34" s="554">
        <f>E34*(1+F35)</f>
        <v/>
      </c>
      <c r="G34" s="556">
        <f>F34*(1+G35)</f>
        <v/>
      </c>
      <c r="H34" s="556">
        <f>G34*(1+H35)</f>
        <v/>
      </c>
      <c r="I34" s="556">
        <f>H34*(1+I35)</f>
        <v/>
      </c>
      <c r="J34" s="556">
        <f>I34*(1+J35)</f>
        <v/>
      </c>
      <c r="K34" s="215" t="n"/>
      <c r="L34" s="215" t="n"/>
      <c r="M34" s="215" t="n"/>
      <c r="N34" s="215" t="n"/>
      <c r="O34" s="215" t="n"/>
      <c r="P34" s="215" t="n"/>
      <c r="Q34" s="215" t="n"/>
    </row>
    <row r="35">
      <c r="A35" s="561" t="inlineStr">
        <is>
          <t>Growth %</t>
        </is>
      </c>
      <c r="B35" s="561" t="n"/>
      <c r="C35" s="246">
        <f>(C34-B34)/B34</f>
        <v/>
      </c>
      <c r="D35" s="246">
        <f>(D34-C34)/C34</f>
        <v/>
      </c>
      <c r="E35" s="246">
        <f>(E34-D34)/D34</f>
        <v/>
      </c>
      <c r="F35" s="562">
        <f>CHOOSE('Costs &amp; Expenses Build'!$C$5,F36,F37,F38)</f>
        <v/>
      </c>
      <c r="G35" s="562">
        <f>CHOOSE('Costs &amp; Expenses Build'!$C$5,G36,G37,G38)</f>
        <v/>
      </c>
      <c r="H35" s="562">
        <f>CHOOSE('Costs &amp; Expenses Build'!$C$5,H36,H37,H38)</f>
        <v/>
      </c>
      <c r="I35" s="562">
        <f>CHOOSE('Costs &amp; Expenses Build'!$C$5,I36,I37,I38)</f>
        <v/>
      </c>
      <c r="J35" s="562">
        <f>CHOOSE('Costs &amp; Expenses Build'!$C$5,J36,J37,J38)</f>
        <v/>
      </c>
      <c r="K35" s="215" t="n"/>
      <c r="L35" s="215" t="n"/>
      <c r="M35" s="215" t="n"/>
      <c r="N35" s="215" t="n"/>
      <c r="O35" s="215" t="n"/>
      <c r="P35" s="215" t="n"/>
      <c r="Q35" s="215" t="n"/>
    </row>
    <row r="36">
      <c r="A36" s="557" t="inlineStr">
        <is>
          <t>Bear</t>
        </is>
      </c>
      <c r="B36" s="557" t="n"/>
      <c r="C36" s="556" t="n"/>
      <c r="D36" s="556" t="n"/>
      <c r="E36" s="556" t="n"/>
      <c r="F36" s="554">
        <f>F37-2%</f>
        <v/>
      </c>
      <c r="G36" s="556">
        <f>G37-2%</f>
        <v/>
      </c>
      <c r="H36" s="556">
        <f>H37-2%</f>
        <v/>
      </c>
      <c r="I36" s="556">
        <f>I37-2%</f>
        <v/>
      </c>
      <c r="J36" s="556">
        <f>J37-2%</f>
        <v/>
      </c>
      <c r="K36" s="215" t="n"/>
      <c r="L36" s="215" t="n"/>
      <c r="M36" s="215" t="n"/>
      <c r="N36" s="215" t="n"/>
      <c r="O36" s="215" t="n"/>
      <c r="P36" s="215" t="n"/>
      <c r="Q36" s="215" t="n"/>
    </row>
    <row r="37">
      <c r="A37" s="555" t="inlineStr">
        <is>
          <t>Base</t>
        </is>
      </c>
      <c r="B37" s="555" t="n"/>
      <c r="C37" s="556" t="n"/>
      <c r="D37" s="556" t="n"/>
      <c r="E37" s="556" t="n"/>
      <c r="F37" s="231" t="n">
        <v>0.1</v>
      </c>
      <c r="G37" s="242">
        <f>F37+2%</f>
        <v/>
      </c>
      <c r="H37" s="242">
        <f>G37+2%</f>
        <v/>
      </c>
      <c r="I37" s="242">
        <f>H37+2%</f>
        <v/>
      </c>
      <c r="J37" s="242">
        <f>I37+2%</f>
        <v/>
      </c>
      <c r="K37" s="215" t="n"/>
      <c r="L37" s="215" t="n"/>
      <c r="M37" s="215" t="n"/>
      <c r="N37" s="215" t="n"/>
      <c r="O37" s="215" t="n"/>
      <c r="P37" s="215" t="n"/>
      <c r="Q37" s="215" t="n"/>
    </row>
    <row r="38">
      <c r="A38" s="555" t="inlineStr">
        <is>
          <t>Bull</t>
        </is>
      </c>
      <c r="B38" s="555" t="n"/>
      <c r="C38" s="556" t="n"/>
      <c r="D38" s="556" t="n"/>
      <c r="E38" s="556" t="n"/>
      <c r="F38" s="554">
        <f>F37+2%</f>
        <v/>
      </c>
      <c r="G38" s="556">
        <f>G37+2%</f>
        <v/>
      </c>
      <c r="H38" s="556">
        <f>H37+2%</f>
        <v/>
      </c>
      <c r="I38" s="556">
        <f>I37+2%</f>
        <v/>
      </c>
      <c r="J38" s="556">
        <f>J37+2%</f>
        <v/>
      </c>
      <c r="K38" s="229" t="n"/>
      <c r="L38" s="229" t="n"/>
      <c r="M38" s="229" t="n"/>
      <c r="N38" s="229" t="n"/>
      <c r="O38" s="229" t="n"/>
      <c r="P38" s="229" t="n"/>
      <c r="Q38" s="229" t="n"/>
    </row>
    <row r="39">
      <c r="A39" s="555" t="inlineStr">
        <is>
          <t>Total Sector Sales</t>
        </is>
      </c>
      <c r="B39" s="555" t="n">
        <v>927.0890000000001</v>
      </c>
      <c r="C39" s="556" t="n">
        <v>1255.212</v>
      </c>
      <c r="D39" s="556" t="n">
        <v>1770.185</v>
      </c>
      <c r="E39" s="556" t="n">
        <v>2639.354</v>
      </c>
      <c r="F39" s="554">
        <f>F34+F29+F24</f>
        <v/>
      </c>
      <c r="G39" s="554">
        <f>G34+G29+G24</f>
        <v/>
      </c>
      <c r="H39" s="554">
        <f>H34+H29+H24</f>
        <v/>
      </c>
      <c r="I39" s="554">
        <f>I34+I29+I24</f>
        <v/>
      </c>
      <c r="J39" s="554">
        <f>J34+J29+J24</f>
        <v/>
      </c>
      <c r="K39" s="229" t="n"/>
      <c r="L39" s="229" t="n"/>
      <c r="M39" s="229" t="n"/>
      <c r="N39" s="229" t="n"/>
      <c r="O39" s="229" t="n"/>
      <c r="P39" s="229" t="n"/>
      <c r="Q39" s="229" t="n"/>
    </row>
    <row r="40">
      <c r="A40" s="555" t="inlineStr">
        <is>
          <t>Total Sales</t>
        </is>
      </c>
      <c r="B40" s="555" t="n"/>
      <c r="C40" s="556" t="n"/>
      <c r="D40" s="556" t="n"/>
      <c r="E40" s="556" t="n"/>
      <c r="F40" s="554" t="n"/>
      <c r="G40" s="556" t="n"/>
      <c r="H40" s="556" t="n"/>
      <c r="I40" s="215" t="n"/>
      <c r="J40" s="215" t="n"/>
      <c r="K40" s="215" t="n"/>
      <c r="L40" s="215" t="n"/>
      <c r="M40" s="215" t="n"/>
      <c r="N40" s="215" t="n"/>
      <c r="O40" s="215" t="n"/>
      <c r="P40" s="215" t="n"/>
      <c r="Q40" s="215" t="n"/>
    </row>
    <row r="41">
      <c r="A41" s="555" t="n"/>
      <c r="B41" s="547" t="n"/>
      <c r="C41" s="547" t="n"/>
      <c r="D41" s="547" t="n"/>
      <c r="E41" s="547" t="n"/>
      <c r="F41" s="547" t="n"/>
      <c r="G41" s="547" t="n"/>
      <c r="H41" s="548" t="n"/>
      <c r="I41" s="215" t="n"/>
      <c r="J41" s="215" t="n"/>
      <c r="K41" s="215" t="n"/>
      <c r="L41" s="215" t="n"/>
      <c r="M41" s="215" t="n"/>
      <c r="N41" s="215" t="n"/>
      <c r="O41" s="215" t="n"/>
      <c r="P41" s="215" t="n"/>
      <c r="Q41" s="215" t="n"/>
    </row>
    <row r="42">
      <c r="A42" s="552" t="inlineStr">
        <is>
          <t>COST OF GOODS SOLD</t>
        </is>
      </c>
      <c r="B42" s="552" t="n"/>
      <c r="C42" s="553" t="n">
        <v>1345.563</v>
      </c>
      <c r="D42" s="553" t="n">
        <v>1814.617</v>
      </c>
      <c r="E42" s="553" t="n">
        <v>2355.943</v>
      </c>
      <c r="F42" s="554" t="n">
        <v>2573.38913</v>
      </c>
      <c r="G42" s="553" t="n">
        <v>2740.01713</v>
      </c>
      <c r="H42" s="553" t="n">
        <v>2795.71333</v>
      </c>
      <c r="I42" s="563">
        <f>'Costs &amp; Expenses Build'!I23</f>
        <v/>
      </c>
      <c r="J42" s="215" t="n"/>
      <c r="K42" s="215" t="n"/>
      <c r="L42" s="215" t="n"/>
      <c r="M42" s="215" t="n"/>
      <c r="N42" s="215" t="n"/>
      <c r="O42" s="215" t="n"/>
      <c r="P42" s="215" t="n"/>
      <c r="Q42" s="215" t="n"/>
    </row>
    <row r="43">
      <c r="A43" s="552" t="inlineStr">
        <is>
          <t>GROSS INCOME</t>
        </is>
      </c>
      <c r="B43" s="552" t="n"/>
      <c r="C43" s="553">
        <f>C9-C42</f>
        <v/>
      </c>
      <c r="D43" s="553">
        <f>D9-D42</f>
        <v/>
      </c>
      <c r="E43" s="553">
        <f>E9-E42</f>
        <v/>
      </c>
      <c r="F43" s="553">
        <f>F9-F42</f>
        <v/>
      </c>
      <c r="G43" s="553">
        <f>G9-G42</f>
        <v/>
      </c>
      <c r="H43" s="553">
        <f>H9-H42</f>
        <v/>
      </c>
      <c r="I43" s="215" t="n"/>
      <c r="J43" s="215" t="n"/>
      <c r="K43" s="215" t="n"/>
      <c r="L43" s="215" t="n"/>
      <c r="M43" s="215" t="n"/>
      <c r="N43" s="215" t="n"/>
      <c r="O43" s="215" t="n"/>
      <c r="P43" s="215" t="n"/>
      <c r="Q43" s="215" t="n"/>
    </row>
    <row r="44">
      <c r="A44" s="552" t="inlineStr">
        <is>
          <t>GROSS PROFIT MARGIN</t>
        </is>
      </c>
      <c r="B44" s="552" t="n"/>
      <c r="C44" s="564" t="n">
        <v>0.3907</v>
      </c>
      <c r="D44" s="564" t="n">
        <v>0.3886</v>
      </c>
      <c r="E44" s="564" t="n">
        <v>0.3892</v>
      </c>
      <c r="F44" s="565" t="n">
        <v>0.3958556</v>
      </c>
      <c r="G44" s="564" t="n">
        <v>0.4007875</v>
      </c>
      <c r="H44" s="564" t="n">
        <v>0.4126667</v>
      </c>
      <c r="I44" s="215" t="n"/>
      <c r="J44" s="215" t="n"/>
      <c r="K44" s="215" t="n"/>
      <c r="L44" s="215" t="n"/>
      <c r="M44" s="215" t="n"/>
      <c r="N44" s="215" t="n"/>
      <c r="O44" s="215" t="n"/>
      <c r="P44" s="215" t="n"/>
      <c r="Q44" s="215" t="n"/>
    </row>
    <row r="45">
      <c r="A45" s="566" t="inlineStr"/>
      <c r="B45" s="547" t="n"/>
      <c r="C45" s="547" t="n"/>
      <c r="D45" s="547" t="n"/>
      <c r="E45" s="547" t="n"/>
      <c r="F45" s="547" t="n"/>
      <c r="G45" s="547" t="n"/>
      <c r="H45" s="548" t="n"/>
    </row>
    <row r="46">
      <c r="A46" s="552" t="inlineStr">
        <is>
          <t>R&amp;D EXPENSE</t>
        </is>
      </c>
      <c r="B46" s="552" t="n"/>
      <c r="C46" s="553" t="n">
        <v>76.06100000000001</v>
      </c>
      <c r="D46" s="553" t="n">
        <v>95.773</v>
      </c>
      <c r="E46" s="553" t="n">
        <v>111.265</v>
      </c>
      <c r="F46" s="554" t="n">
        <v>71.55</v>
      </c>
      <c r="G46" s="553" t="n">
        <v>74.84999999999999</v>
      </c>
      <c r="H46" s="553" t="n">
        <v>78.2</v>
      </c>
    </row>
    <row r="47">
      <c r="A47" s="552" t="inlineStr">
        <is>
          <t>STOCK BASED COMPENSATION</t>
        </is>
      </c>
      <c r="B47" s="552" t="n"/>
      <c r="C47" s="553" t="n">
        <v>12.646</v>
      </c>
      <c r="D47" s="553" t="n">
        <v>15.475</v>
      </c>
      <c r="E47" s="553" t="n">
        <v>18.775</v>
      </c>
      <c r="F47" s="554" t="n">
        <v>16.19433</v>
      </c>
      <c r="G47" s="553" t="n">
        <v>16.206</v>
      </c>
      <c r="H47" s="553" t="n">
        <v>21.9</v>
      </c>
    </row>
    <row r="48">
      <c r="A48" s="552" t="inlineStr">
        <is>
          <t>SG&amp;A EXPENSE</t>
        </is>
      </c>
      <c r="B48" s="552" t="n"/>
      <c r="C48" s="553" t="n">
        <v>365.915</v>
      </c>
      <c r="D48" s="553" t="n">
        <v>528.149</v>
      </c>
      <c r="E48" s="553" t="n">
        <v>677.271</v>
      </c>
      <c r="F48" s="554" t="n">
        <v>754.60067</v>
      </c>
      <c r="G48" s="553" t="n">
        <v>795.23133</v>
      </c>
      <c r="H48" s="553" t="n">
        <v>853.4</v>
      </c>
    </row>
    <row r="49">
      <c r="A49" s="552" t="inlineStr">
        <is>
          <t>OPERATING EXPENSE</t>
        </is>
      </c>
      <c r="B49" s="552" t="n"/>
      <c r="C49" s="553" t="n">
        <v>1711.478</v>
      </c>
      <c r="D49" s="553" t="n">
        <v>2342.766</v>
      </c>
      <c r="E49" s="553" t="n">
        <v>3033.214</v>
      </c>
      <c r="F49" s="554" t="n">
        <v>3335.775</v>
      </c>
      <c r="G49" s="553" t="n">
        <v>3559.76667</v>
      </c>
      <c r="H49" s="553" t="n">
        <v>3674</v>
      </c>
    </row>
    <row r="50">
      <c r="A50" s="566" t="inlineStr"/>
      <c r="B50" s="547" t="n"/>
      <c r="C50" s="547" t="n"/>
      <c r="D50" s="547" t="n"/>
      <c r="E50" s="547" t="n"/>
      <c r="F50" s="547" t="n"/>
      <c r="G50" s="547" t="n"/>
      <c r="H50" s="548" t="n"/>
    </row>
    <row r="51">
      <c r="A51" s="552" t="inlineStr">
        <is>
          <t>EBITDA</t>
        </is>
      </c>
      <c r="B51" s="552" t="n"/>
      <c r="C51" s="553" t="n">
        <v>593.742</v>
      </c>
      <c r="D51" s="553" t="n">
        <v>758.3099999999999</v>
      </c>
      <c r="E51" s="553" t="n">
        <v>1002.23</v>
      </c>
      <c r="F51" s="554" t="n">
        <v>1144.85617</v>
      </c>
      <c r="G51" s="553" t="n">
        <v>1239.51544</v>
      </c>
      <c r="H51" s="553" t="n">
        <v>1337.6599</v>
      </c>
    </row>
    <row r="52">
      <c r="A52" s="552" t="inlineStr">
        <is>
          <t>EBITDA MARGIN</t>
        </is>
      </c>
      <c r="B52" s="552" t="n"/>
      <c r="C52" s="564" t="inlineStr">
        <is>
          <t>-</t>
        </is>
      </c>
      <c r="D52" s="564" t="inlineStr">
        <is>
          <t>-</t>
        </is>
      </c>
      <c r="E52" s="564" t="inlineStr">
        <is>
          <t>-</t>
        </is>
      </c>
      <c r="F52" s="565" t="n">
        <v>0.2650909</v>
      </c>
      <c r="G52" s="564" t="n">
        <v>0.2675546</v>
      </c>
      <c r="H52" s="564" t="n">
        <v>0.2706</v>
      </c>
    </row>
    <row r="53">
      <c r="A53" s="552" t="inlineStr">
        <is>
          <t>EBITDA PER SHARE</t>
        </is>
      </c>
      <c r="B53" s="552" t="n"/>
      <c r="C53" s="553" t="inlineStr">
        <is>
          <t>-</t>
        </is>
      </c>
      <c r="D53" s="553" t="n">
        <v>5.459</v>
      </c>
      <c r="E53" s="553" t="n">
        <v>7.15</v>
      </c>
      <c r="F53" s="554" t="n">
        <v>8.27</v>
      </c>
      <c r="G53" s="553" t="n">
        <v>9.029999999999999</v>
      </c>
      <c r="H53" s="553" t="n">
        <v>9.84</v>
      </c>
    </row>
    <row r="54">
      <c r="A54" s="552" t="inlineStr">
        <is>
          <t>DEPRECIATION &amp; AMORTIZATION</t>
        </is>
      </c>
      <c r="B54" s="552" t="n"/>
      <c r="C54" s="553" t="n">
        <v>96.333</v>
      </c>
      <c r="D54" s="553" t="n">
        <v>130.043</v>
      </c>
      <c r="E54" s="553" t="n">
        <v>175.331</v>
      </c>
      <c r="F54" s="554" t="n">
        <v>182.3355</v>
      </c>
      <c r="G54" s="553" t="n">
        <v>186.064</v>
      </c>
      <c r="H54" s="553" t="n">
        <v>191.338</v>
      </c>
    </row>
    <row r="55">
      <c r="A55" s="552" t="inlineStr">
        <is>
          <t>DEPRECIATION</t>
        </is>
      </c>
      <c r="B55" s="552" t="n"/>
      <c r="C55" s="553" t="n">
        <v>28.717</v>
      </c>
      <c r="D55" s="553" t="n">
        <v>40.278</v>
      </c>
      <c r="E55" s="553" t="n">
        <v>49.128</v>
      </c>
      <c r="F55" s="554" t="n">
        <v>66</v>
      </c>
      <c r="G55" s="553" t="n">
        <v>69</v>
      </c>
      <c r="H55" s="553" t="n">
        <v>73</v>
      </c>
    </row>
    <row r="56">
      <c r="A56" s="552" t="inlineStr">
        <is>
          <t>AMORTIZATION</t>
        </is>
      </c>
      <c r="B56" s="552" t="n"/>
      <c r="C56" s="553" t="n">
        <v>66.07599999999999</v>
      </c>
      <c r="D56" s="553" t="n">
        <v>89.765</v>
      </c>
      <c r="E56" s="553" t="n">
        <v>126.203</v>
      </c>
      <c r="F56" s="554" t="n">
        <v>64.5</v>
      </c>
      <c r="G56" s="553" t="n">
        <v>69</v>
      </c>
      <c r="H56" s="553" t="n">
        <v>148</v>
      </c>
    </row>
    <row r="57">
      <c r="A57" s="566" t="inlineStr"/>
      <c r="B57" s="547" t="n"/>
      <c r="C57" s="547" t="n"/>
      <c r="D57" s="547" t="n"/>
      <c r="E57" s="547" t="n"/>
      <c r="F57" s="547" t="n"/>
      <c r="G57" s="547" t="n"/>
      <c r="H57" s="548" t="n"/>
    </row>
    <row r="58">
      <c r="A58" s="552" t="inlineStr">
        <is>
          <t>EBIT</t>
        </is>
      </c>
      <c r="B58" s="552" t="n"/>
      <c r="C58" s="553" t="n">
        <v>496.844</v>
      </c>
      <c r="D58" s="553" t="n">
        <v>625.3390000000001</v>
      </c>
      <c r="E58" s="553" t="n">
        <v>824.455</v>
      </c>
      <c r="F58" s="554" t="n">
        <v>955.43956</v>
      </c>
      <c r="G58" s="553" t="n">
        <v>1046.323</v>
      </c>
      <c r="H58" s="553" t="n">
        <v>1145.49564</v>
      </c>
    </row>
    <row r="59">
      <c r="A59" s="555" t="inlineStr">
        <is>
          <t xml:space="preserve">        ELECTRONIC TECHNOLOGIES GROUP</t>
        </is>
      </c>
      <c r="B59" s="555" t="n"/>
      <c r="C59" s="556" t="n">
        <v>269.473</v>
      </c>
      <c r="D59" s="556" t="n">
        <v>285.053</v>
      </c>
      <c r="E59" s="556" t="n">
        <v>288.193</v>
      </c>
      <c r="F59" s="554" t="n">
        <v>322.97583</v>
      </c>
      <c r="G59" s="556" t="n">
        <v>351.05033</v>
      </c>
      <c r="H59" s="556" t="n">
        <v>380</v>
      </c>
    </row>
    <row r="60">
      <c r="A60" s="555" t="inlineStr">
        <is>
          <t xml:space="preserve">        FLIGHT SUPPORT GROUP</t>
        </is>
      </c>
      <c r="B60" s="555" t="n"/>
      <c r="C60" s="556" t="n">
        <v>267.167</v>
      </c>
      <c r="D60" s="556" t="n">
        <v>387.297</v>
      </c>
      <c r="E60" s="556" t="n">
        <v>593.074</v>
      </c>
      <c r="F60" s="554" t="n">
        <v>690.211</v>
      </c>
      <c r="G60" s="556" t="n">
        <v>746.69683</v>
      </c>
      <c r="H60" s="556" t="n">
        <v>808.13333</v>
      </c>
    </row>
    <row r="61">
      <c r="A61" s="555" t="inlineStr">
        <is>
          <t xml:space="preserve">        INTERSEGMENT SALES</t>
        </is>
      </c>
      <c r="B61" s="555" t="n"/>
      <c r="C61" s="556" t="n">
        <v>-39.796</v>
      </c>
      <c r="D61" s="556" t="n">
        <v>-47.011</v>
      </c>
      <c r="E61" s="556" t="n">
        <v>-56.812</v>
      </c>
      <c r="F61" s="554" t="n">
        <v>-60.47783</v>
      </c>
      <c r="G61" s="556" t="n">
        <v>-60.96667</v>
      </c>
      <c r="H61" s="556" t="n">
        <v>-71.96666999999999</v>
      </c>
    </row>
    <row r="62">
      <c r="A62" s="566" t="inlineStr"/>
      <c r="B62" s="547" t="n"/>
      <c r="C62" s="547" t="n"/>
      <c r="D62" s="547" t="n"/>
      <c r="E62" s="547" t="n"/>
      <c r="F62" s="547" t="n"/>
      <c r="G62" s="547" t="n"/>
      <c r="H62" s="548" t="n"/>
    </row>
    <row r="63">
      <c r="A63" s="552" t="inlineStr">
        <is>
          <t>EBIT MARGIN</t>
        </is>
      </c>
      <c r="B63" s="552" t="n"/>
      <c r="C63" s="564" t="inlineStr">
        <is>
          <t>-</t>
        </is>
      </c>
      <c r="D63" s="564" t="inlineStr">
        <is>
          <t>-</t>
        </is>
      </c>
      <c r="E63" s="564" t="inlineStr">
        <is>
          <t>-</t>
        </is>
      </c>
      <c r="F63" s="565" t="n">
        <v>0.22467</v>
      </c>
      <c r="G63" s="564" t="n">
        <v>0.2268778</v>
      </c>
      <c r="H63" s="564" t="n">
        <v>0.2316</v>
      </c>
    </row>
    <row r="64">
      <c r="A64" s="552" t="inlineStr">
        <is>
          <t>INTEREST EXPENSE</t>
        </is>
      </c>
      <c r="B64" s="552" t="n"/>
      <c r="C64" s="553" t="n">
        <v>5.808</v>
      </c>
      <c r="D64" s="553" t="n">
        <v>71.773</v>
      </c>
      <c r="E64" s="553" t="n">
        <v>149.313</v>
      </c>
      <c r="F64" s="554" t="n">
        <v>124.11436</v>
      </c>
      <c r="G64" s="553" t="n">
        <v>108.22727</v>
      </c>
      <c r="H64" s="553" t="n">
        <v>80</v>
      </c>
    </row>
    <row r="65">
      <c r="A65" s="552" t="inlineStr">
        <is>
          <t>OTHER INCOME/EXPENSE</t>
        </is>
      </c>
      <c r="B65" s="552" t="n"/>
      <c r="C65" s="553" t="inlineStr">
        <is>
          <t>-</t>
        </is>
      </c>
      <c r="D65" s="553" t="inlineStr">
        <is>
          <t>-</t>
        </is>
      </c>
      <c r="E65" s="553" t="inlineStr">
        <is>
          <t>-</t>
        </is>
      </c>
      <c r="F65" s="554" t="n">
        <v>-19.43333</v>
      </c>
      <c r="G65" s="553" t="n">
        <v>-19.66667</v>
      </c>
      <c r="H65" s="553" t="n">
        <v>0</v>
      </c>
    </row>
    <row r="66">
      <c r="A66" s="566" t="inlineStr"/>
      <c r="B66" s="547" t="n"/>
      <c r="C66" s="547" t="n"/>
      <c r="D66" s="547" t="n"/>
      <c r="E66" s="547" t="n"/>
      <c r="F66" s="547" t="n"/>
      <c r="G66" s="547" t="n"/>
      <c r="H66" s="548" t="n"/>
    </row>
    <row r="67">
      <c r="A67" s="552" t="inlineStr">
        <is>
          <t>PRE-TAX PROFIT</t>
        </is>
      </c>
      <c r="B67" s="552" t="n"/>
      <c r="C67" s="553" t="n">
        <v>491.023</v>
      </c>
      <c r="D67" s="553" t="n">
        <v>555.283</v>
      </c>
      <c r="E67" s="553" t="n">
        <v>677.586</v>
      </c>
      <c r="F67" s="554" t="n">
        <v>830.60113</v>
      </c>
      <c r="G67" s="553" t="n">
        <v>939.27367</v>
      </c>
      <c r="H67" s="553" t="n">
        <v>1060.02671</v>
      </c>
    </row>
    <row r="68">
      <c r="A68" s="552" t="inlineStr">
        <is>
          <t>TAX PROVISION</t>
        </is>
      </c>
      <c r="B68" s="552" t="n"/>
      <c r="C68" s="553" t="n">
        <v>100.4</v>
      </c>
      <c r="D68" s="553" t="n">
        <v>110.9</v>
      </c>
      <c r="E68" s="553" t="n">
        <v>118.5</v>
      </c>
      <c r="F68" s="554" t="n">
        <v>148.47264</v>
      </c>
      <c r="G68" s="553" t="n">
        <v>181.20337</v>
      </c>
      <c r="H68" s="553" t="n">
        <v>199.825</v>
      </c>
    </row>
    <row r="69">
      <c r="A69" s="552" t="inlineStr">
        <is>
          <t>TAX RATE</t>
        </is>
      </c>
      <c r="B69" s="552" t="n"/>
      <c r="C69" s="564" t="n">
        <v>0.2044711</v>
      </c>
      <c r="D69" s="564" t="n">
        <v>0.199718</v>
      </c>
      <c r="E69" s="564" t="n">
        <v>0.1748</v>
      </c>
      <c r="F69" s="565" t="n">
        <v>0.1823</v>
      </c>
      <c r="G69" s="564" t="n">
        <v>0.1972</v>
      </c>
      <c r="H69" s="564" t="n">
        <v>0.196</v>
      </c>
    </row>
    <row r="70">
      <c r="A70" s="566" t="inlineStr"/>
      <c r="B70" s="547" t="n"/>
      <c r="C70" s="547" t="n"/>
      <c r="D70" s="547" t="n"/>
      <c r="E70" s="547" t="n"/>
      <c r="F70" s="547" t="n"/>
      <c r="G70" s="547" t="n"/>
      <c r="H70" s="548" t="n"/>
    </row>
    <row r="71">
      <c r="A71" s="552" t="inlineStr">
        <is>
          <t>NET INCOME</t>
        </is>
      </c>
      <c r="B71" s="552" t="n"/>
      <c r="C71" s="553" t="n">
        <v>351.675</v>
      </c>
      <c r="D71" s="553" t="n">
        <v>403.596</v>
      </c>
      <c r="E71" s="553" t="n">
        <v>514.109</v>
      </c>
      <c r="F71" s="554" t="n">
        <v>627.84394</v>
      </c>
      <c r="G71" s="553" t="n">
        <v>701.29747</v>
      </c>
      <c r="H71" s="553" t="n">
        <v>792.65178</v>
      </c>
    </row>
    <row r="72">
      <c r="A72" s="552" t="inlineStr">
        <is>
          <t>NET INCOME MARGIN</t>
        </is>
      </c>
      <c r="B72" s="552" t="n"/>
      <c r="C72" s="564" t="inlineStr">
        <is>
          <t>-</t>
        </is>
      </c>
      <c r="D72" s="564" t="inlineStr">
        <is>
          <t>-</t>
        </is>
      </c>
      <c r="E72" s="564" t="inlineStr">
        <is>
          <t>-</t>
        </is>
      </c>
      <c r="F72" s="565" t="n">
        <v>0.1499</v>
      </c>
      <c r="G72" s="564" t="n">
        <v>0.1542333</v>
      </c>
      <c r="H72" s="564" t="n">
        <v>0.1620333</v>
      </c>
    </row>
    <row r="73">
      <c r="A73" s="566" t="inlineStr"/>
      <c r="B73" s="547" t="n"/>
      <c r="C73" s="547" t="n"/>
      <c r="D73" s="547" t="n"/>
      <c r="E73" s="547" t="n"/>
      <c r="F73" s="547" t="n"/>
      <c r="G73" s="547" t="n"/>
      <c r="H73" s="548" t="n"/>
    </row>
    <row r="74">
      <c r="A74" s="552" t="inlineStr">
        <is>
          <t>EARNINGS PER SHARE</t>
        </is>
      </c>
      <c r="B74" s="552" t="n"/>
      <c r="C74" s="553" t="n">
        <v>2.55</v>
      </c>
      <c r="D74" s="553" t="n">
        <v>2.91</v>
      </c>
      <c r="E74" s="553" t="n">
        <v>3.67</v>
      </c>
      <c r="F74" s="554" t="n">
        <v>4.44705</v>
      </c>
      <c r="G74" s="553" t="n">
        <v>4.96844</v>
      </c>
      <c r="H74" s="553" t="n">
        <v>5.64222</v>
      </c>
    </row>
    <row r="75">
      <c r="A75" s="552" t="inlineStr">
        <is>
          <t>EBITDA REPORTED</t>
        </is>
      </c>
      <c r="B75" s="552" t="n"/>
      <c r="C75" s="553" t="n">
        <v>593.177</v>
      </c>
      <c r="D75" s="553" t="n">
        <v>755.3819999999999</v>
      </c>
      <c r="E75" s="553" t="n">
        <v>999.7859999999999</v>
      </c>
      <c r="F75" s="554" t="n">
        <v>1136.66667</v>
      </c>
      <c r="G75" s="553" t="n">
        <v>1238.71667</v>
      </c>
      <c r="H75" s="553" t="n">
        <v>1363.66667</v>
      </c>
    </row>
    <row r="76">
      <c r="A76" s="552" t="inlineStr">
        <is>
          <t>PRE-TAX PROFIT REPORTED</t>
        </is>
      </c>
      <c r="B76" s="552" t="n"/>
      <c r="C76" s="553" t="n">
        <v>491.023</v>
      </c>
      <c r="D76" s="553" t="n">
        <v>555.283</v>
      </c>
      <c r="E76" s="553" t="n">
        <v>677.586</v>
      </c>
      <c r="F76" s="554" t="n">
        <v>833.885</v>
      </c>
      <c r="G76" s="553" t="n">
        <v>937.2063900000001</v>
      </c>
      <c r="H76" s="553" t="n">
        <v>1063.98833</v>
      </c>
    </row>
    <row r="77">
      <c r="A77" s="552" t="inlineStr">
        <is>
          <t>NET INCOME REPORTED</t>
        </is>
      </c>
      <c r="B77" s="552" t="n"/>
      <c r="C77" s="553" t="n">
        <v>351.675</v>
      </c>
      <c r="D77" s="553" t="n">
        <v>403.596</v>
      </c>
      <c r="E77" s="553" t="n">
        <v>514.109</v>
      </c>
      <c r="F77" s="554" t="n">
        <v>629.43414</v>
      </c>
      <c r="G77" s="553" t="n">
        <v>699.63836</v>
      </c>
      <c r="H77" s="553" t="n">
        <v>794.1271400000001</v>
      </c>
    </row>
    <row r="78">
      <c r="A78" s="552" t="inlineStr">
        <is>
          <t>EARNINGS PER SHARE REPORTED</t>
        </is>
      </c>
      <c r="B78" s="552" t="n"/>
      <c r="C78" s="553" t="n">
        <v>2.55</v>
      </c>
      <c r="D78" s="553" t="n">
        <v>2.91</v>
      </c>
      <c r="E78" s="553" t="n">
        <v>3.67</v>
      </c>
      <c r="F78" s="554" t="n">
        <v>4.44625</v>
      </c>
      <c r="G78" s="553" t="n">
        <v>4.95875</v>
      </c>
      <c r="H78" s="553" t="n">
        <v>5.65</v>
      </c>
    </row>
    <row r="79">
      <c r="A79" s="552" t="inlineStr">
        <is>
          <t>DIVIDEND PER SHARE</t>
        </is>
      </c>
      <c r="B79" s="552" t="n"/>
      <c r="C79" s="553" t="inlineStr">
        <is>
          <t>-</t>
        </is>
      </c>
      <c r="D79" s="553" t="n">
        <v>0.2</v>
      </c>
      <c r="E79" s="553" t="inlineStr">
        <is>
          <t>-</t>
        </is>
      </c>
      <c r="F79" s="554" t="n">
        <v>0.24</v>
      </c>
      <c r="G79" s="553" t="n">
        <v>0.266</v>
      </c>
      <c r="H79" s="553" t="n">
        <v>0.30429</v>
      </c>
    </row>
    <row r="80">
      <c r="A80" s="552" t="inlineStr">
        <is>
          <t>NUMBER OF SHARES OUTSTANDING</t>
        </is>
      </c>
      <c r="B80" s="552" t="n"/>
      <c r="C80" s="553" t="n">
        <v>138.037</v>
      </c>
      <c r="D80" s="553" t="n">
        <v>138.905</v>
      </c>
      <c r="E80" s="553" t="n">
        <v>140.198</v>
      </c>
      <c r="F80" s="554" t="n">
        <v>140.53146</v>
      </c>
      <c r="G80" s="553" t="n">
        <v>140.93146</v>
      </c>
      <c r="H80" s="553" t="n">
        <v>140.46667</v>
      </c>
    </row>
    <row r="81">
      <c r="A81" s="566" t="inlineStr"/>
      <c r="B81" s="547" t="n"/>
      <c r="C81" s="547" t="n"/>
      <c r="D81" s="547" t="n"/>
      <c r="E81" s="547" t="n"/>
      <c r="F81" s="547" t="n"/>
      <c r="G81" s="547" t="n"/>
      <c r="H81" s="548" t="n"/>
    </row>
  </sheetData>
  <mergeCells count="12">
    <mergeCell ref="A50:H50"/>
    <mergeCell ref="A70:H70"/>
    <mergeCell ref="A62:H62"/>
    <mergeCell ref="A45:H45"/>
    <mergeCell ref="A81:H81"/>
    <mergeCell ref="A73:H73"/>
    <mergeCell ref="A57:H57"/>
    <mergeCell ref="C1:G1"/>
    <mergeCell ref="C5:Q5"/>
    <mergeCell ref="A41:H41"/>
    <mergeCell ref="A66:H66"/>
    <mergeCell ref="F7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10" defaultColWidth="11.5" defaultRowHeight="14"/>
  <cols>
    <col width="34" customWidth="1" style="70" min="1" max="1"/>
    <col width="12.1640625" bestFit="1" customWidth="1" style="70" min="2" max="8"/>
    <col width="11.5" customWidth="1" style="70" min="9" max="16384"/>
  </cols>
  <sheetData>
    <row r="1" ht="15" customHeight="1" thickBot="1">
      <c r="A1" s="251" t="inlineStr">
        <is>
          <t>Company Fundamentals - Cash Flow</t>
        </is>
      </c>
      <c r="B1" s="252" t="n"/>
      <c r="C1" s="252" t="n"/>
      <c r="D1" s="252" t="n"/>
      <c r="E1" s="252" t="n"/>
      <c r="F1" s="252" t="n"/>
      <c r="G1" s="252" t="n"/>
      <c r="H1" s="252" t="n"/>
    </row>
    <row r="2" ht="15" customHeight="1" thickTop="1">
      <c r="A2" s="253" t="inlineStr">
        <is>
          <t>Company Name</t>
        </is>
      </c>
      <c r="B2" s="254" t="inlineStr">
        <is>
          <t>HEICO Corp (HEI)</t>
        </is>
      </c>
      <c r="C2" s="255" t="n"/>
      <c r="D2" s="255" t="n"/>
      <c r="E2" s="255" t="n"/>
      <c r="F2" s="255" t="n"/>
      <c r="G2" s="255" t="n"/>
      <c r="H2" s="255" t="n"/>
    </row>
    <row r="3">
      <c r="A3" s="253" t="inlineStr">
        <is>
          <t>Country of Exchange</t>
        </is>
      </c>
      <c r="B3" s="253" t="inlineStr">
        <is>
          <t>United States of America</t>
        </is>
      </c>
      <c r="C3" s="255" t="n"/>
      <c r="D3" s="255" t="n"/>
      <c r="E3" s="255" t="n"/>
      <c r="F3" s="255" t="n"/>
      <c r="G3" s="255" t="n"/>
      <c r="H3" s="255" t="n"/>
    </row>
    <row r="4">
      <c r="A4" s="253" t="inlineStr">
        <is>
          <t>Country of Headquarters</t>
        </is>
      </c>
      <c r="B4" s="253" t="inlineStr">
        <is>
          <t>United States of America</t>
        </is>
      </c>
      <c r="C4" s="255" t="n"/>
      <c r="D4" s="255" t="n"/>
      <c r="E4" s="255" t="n"/>
      <c r="F4" s="255" t="n"/>
      <c r="G4" s="255" t="n"/>
      <c r="H4" s="255" t="n"/>
    </row>
    <row r="5">
      <c r="A5" s="253" t="inlineStr">
        <is>
          <t>TRBC Industry Group</t>
        </is>
      </c>
      <c r="B5" s="253" t="inlineStr">
        <is>
          <t>Aerospace &amp; Defense</t>
        </is>
      </c>
      <c r="C5" s="255" t="n"/>
      <c r="D5" s="255" t="n"/>
      <c r="E5" s="255" t="n"/>
      <c r="F5" s="255" t="n"/>
      <c r="G5" s="255" t="n"/>
      <c r="H5" s="255" t="n"/>
    </row>
    <row r="6">
      <c r="A6" s="253" t="inlineStr">
        <is>
          <t>CF Template</t>
        </is>
      </c>
      <c r="B6" s="253" t="inlineStr">
        <is>
          <t>IND</t>
        </is>
      </c>
      <c r="C6" s="255" t="n"/>
      <c r="D6" s="255" t="n"/>
      <c r="E6" s="255" t="n"/>
      <c r="F6" s="255" t="n"/>
      <c r="G6" s="255" t="n"/>
      <c r="H6" s="255" t="n"/>
    </row>
    <row r="7">
      <c r="A7" s="253" t="inlineStr">
        <is>
          <t>Consolidation Basis</t>
        </is>
      </c>
      <c r="B7" s="253" t="inlineStr">
        <is>
          <t>Consolidated</t>
        </is>
      </c>
      <c r="C7" s="255" t="n"/>
      <c r="D7" s="255" t="n"/>
      <c r="E7" s="255" t="n"/>
      <c r="F7" s="255" t="n"/>
      <c r="G7" s="255" t="n"/>
      <c r="H7" s="255" t="n"/>
    </row>
    <row r="8">
      <c r="A8" s="253" t="inlineStr">
        <is>
          <t>Scaling</t>
        </is>
      </c>
      <c r="B8" s="253" t="inlineStr">
        <is>
          <t>Millions</t>
        </is>
      </c>
      <c r="C8" s="255" t="n"/>
      <c r="D8" s="255" t="n"/>
      <c r="E8" s="255" t="n"/>
      <c r="F8" s="255" t="n"/>
      <c r="G8" s="255" t="n"/>
      <c r="H8" s="255" t="n"/>
    </row>
    <row r="9">
      <c r="A9" s="253" t="inlineStr">
        <is>
          <t>Period</t>
        </is>
      </c>
      <c r="B9" s="253" t="inlineStr">
        <is>
          <t>Annual</t>
        </is>
      </c>
      <c r="C9" s="255" t="n"/>
      <c r="D9" s="255" t="n"/>
      <c r="E9" s="255" t="n"/>
      <c r="F9" s="255" t="n"/>
      <c r="G9" s="255" t="n"/>
      <c r="H9" s="255" t="n"/>
    </row>
    <row r="10">
      <c r="A10" s="253" t="inlineStr">
        <is>
          <t>Export Date</t>
        </is>
      </c>
      <c r="B10" s="567" t="n">
        <v>45772.96351320602</v>
      </c>
      <c r="C10" s="255" t="n"/>
      <c r="D10" s="255" t="n"/>
      <c r="E10" s="255" t="n"/>
      <c r="F10" s="255" t="n"/>
      <c r="G10" s="255" t="n"/>
      <c r="H10" s="255" t="n"/>
    </row>
    <row r="11">
      <c r="A11" s="257" t="inlineStr">
        <is>
          <t>Statement Data</t>
        </is>
      </c>
      <c r="B11" s="424" t="inlineStr">
        <is>
          <t>2018</t>
        </is>
      </c>
      <c r="C11" s="424" t="inlineStr">
        <is>
          <t>2019</t>
        </is>
      </c>
      <c r="D11" s="424" t="inlineStr">
        <is>
          <t>2020</t>
        </is>
      </c>
      <c r="E11" s="424" t="inlineStr">
        <is>
          <t>2021</t>
        </is>
      </c>
      <c r="F11" s="424" t="inlineStr">
        <is>
          <t>2022</t>
        </is>
      </c>
      <c r="G11" s="424" t="inlineStr">
        <is>
          <t>2023</t>
        </is>
      </c>
      <c r="H11" s="424" t="inlineStr">
        <is>
          <t>2024</t>
        </is>
      </c>
    </row>
    <row r="12">
      <c r="A12" s="258" t="inlineStr">
        <is>
          <t>Period End Date</t>
        </is>
      </c>
      <c r="B12" s="568" t="n">
        <v>43404</v>
      </c>
      <c r="C12" s="568" t="n">
        <v>43769</v>
      </c>
      <c r="D12" s="568" t="n">
        <v>44135</v>
      </c>
      <c r="E12" s="568" t="n">
        <v>44500</v>
      </c>
      <c r="F12" s="568" t="n">
        <v>44865</v>
      </c>
      <c r="G12" s="568" t="n">
        <v>45230</v>
      </c>
      <c r="H12" s="568" t="n">
        <v>45596</v>
      </c>
    </row>
    <row r="13">
      <c r="A13" s="258" t="inlineStr">
        <is>
          <t>Statement Date</t>
        </is>
      </c>
      <c r="B13" s="568" t="n">
        <v>43403</v>
      </c>
      <c r="C13" s="568" t="n">
        <v>43768</v>
      </c>
      <c r="D13" s="568" t="n">
        <v>44134</v>
      </c>
      <c r="E13" s="568" t="n">
        <v>44499</v>
      </c>
      <c r="F13" s="568" t="n">
        <v>44864</v>
      </c>
      <c r="G13" s="568" t="n">
        <v>45229</v>
      </c>
      <c r="H13" s="568" t="n">
        <v>45595</v>
      </c>
    </row>
    <row r="14">
      <c r="A14" s="258" t="inlineStr">
        <is>
          <t>Standardized Currency</t>
        </is>
      </c>
      <c r="B14" s="422" t="inlineStr">
        <is>
          <t>USD</t>
        </is>
      </c>
      <c r="C14" s="422" t="inlineStr">
        <is>
          <t>USD</t>
        </is>
      </c>
      <c r="D14" s="422" t="inlineStr">
        <is>
          <t>USD</t>
        </is>
      </c>
      <c r="E14" s="422" t="inlineStr">
        <is>
          <t>USD</t>
        </is>
      </c>
      <c r="F14" s="422" t="inlineStr">
        <is>
          <t>USD</t>
        </is>
      </c>
      <c r="G14" s="422" t="inlineStr">
        <is>
          <t>USD</t>
        </is>
      </c>
      <c r="H14" s="422" t="inlineStr">
        <is>
          <t>USD</t>
        </is>
      </c>
    </row>
    <row r="15" ht="22.5" customHeight="1">
      <c r="A15" s="258" t="inlineStr">
        <is>
          <t>Template Type</t>
        </is>
      </c>
      <c r="B15" s="422" t="inlineStr">
        <is>
          <t>Industrial - Indirect</t>
        </is>
      </c>
      <c r="C15" s="422" t="inlineStr">
        <is>
          <t>Industrial - Indirect</t>
        </is>
      </c>
      <c r="D15" s="422" t="inlineStr">
        <is>
          <t>Industrial - Indirect</t>
        </is>
      </c>
      <c r="E15" s="422" t="inlineStr">
        <is>
          <t>Industrial - Indirect</t>
        </is>
      </c>
      <c r="F15" s="422" t="inlineStr">
        <is>
          <t>Industrial - Indirect</t>
        </is>
      </c>
      <c r="G15" s="422" t="inlineStr">
        <is>
          <t>Industrial - Indirect</t>
        </is>
      </c>
      <c r="H15" s="422" t="inlineStr">
        <is>
          <t>Industrial - Indirect</t>
        </is>
      </c>
    </row>
    <row r="17" ht="28" customHeight="1">
      <c r="A17" s="259" t="inlineStr">
        <is>
          <t>Cash Flow - Standardized (Currency: Standardized)</t>
        </is>
      </c>
      <c r="B17" s="257" t="n"/>
      <c r="C17" s="257" t="n"/>
      <c r="D17" s="257" t="n"/>
      <c r="E17" s="257" t="n"/>
      <c r="F17" s="257" t="n"/>
      <c r="G17" s="257" t="n"/>
      <c r="H17" s="257" t="n"/>
    </row>
    <row r="18">
      <c r="A18" s="259" t="inlineStr">
        <is>
          <t>Field Name</t>
        </is>
      </c>
      <c r="B18" s="260" t="inlineStr">
        <is>
          <t>30-10-2018</t>
        </is>
      </c>
      <c r="C18" s="260" t="inlineStr">
        <is>
          <t>30-10-2019</t>
        </is>
      </c>
      <c r="D18" s="260" t="inlineStr">
        <is>
          <t>30-10-2020</t>
        </is>
      </c>
      <c r="E18" s="260" t="inlineStr">
        <is>
          <t>30-10-2021</t>
        </is>
      </c>
      <c r="F18" s="260" t="inlineStr">
        <is>
          <t>30-10-2022</t>
        </is>
      </c>
      <c r="G18" s="260" t="inlineStr">
        <is>
          <t>30-10-2023</t>
        </is>
      </c>
      <c r="H18" s="260" t="inlineStr">
        <is>
          <t>30-10-2024</t>
        </is>
      </c>
    </row>
    <row r="19">
      <c r="A19" s="261" t="inlineStr">
        <is>
          <t>Operating Cash Flow - Indirect</t>
        </is>
      </c>
      <c r="B19" s="262" t="n"/>
      <c r="C19" s="262" t="n"/>
      <c r="D19" s="262" t="n"/>
      <c r="E19" s="262" t="n"/>
      <c r="F19" s="262" t="n"/>
      <c r="G19" s="262" t="n"/>
      <c r="H19" s="262" t="n"/>
    </row>
    <row r="20" ht="28" customHeight="1">
      <c r="A20" s="263" t="inlineStr">
        <is>
          <t>Profit/(Loss) - Starting Line - Cash Flow</t>
        </is>
      </c>
      <c r="B20" s="569" t="n">
        <v>285.69</v>
      </c>
      <c r="C20" s="569" t="n">
        <v>359.74</v>
      </c>
      <c r="D20" s="569" t="n">
        <v>335.86</v>
      </c>
      <c r="E20" s="569" t="n">
        <v>329.76</v>
      </c>
      <c r="F20" s="569" t="n">
        <v>390.62</v>
      </c>
      <c r="G20" s="569" t="n">
        <v>444.38</v>
      </c>
      <c r="H20" s="569" t="n">
        <v>559.09</v>
      </c>
    </row>
    <row r="21" ht="28" customHeight="1">
      <c r="A21" s="263" t="inlineStr">
        <is>
          <t>Non-cash Items &amp; Reconciliation Adjustments - Cash Flow</t>
        </is>
      </c>
      <c r="B21" s="265" t="n">
        <v>80.52</v>
      </c>
      <c r="C21" s="265" t="n">
        <v>96.48999999999999</v>
      </c>
      <c r="D21" s="569" t="n">
        <v>102.61</v>
      </c>
      <c r="E21" s="569" t="n">
        <v>100.02</v>
      </c>
      <c r="F21" s="569" t="n">
        <v>123.23</v>
      </c>
      <c r="G21" s="569" t="n">
        <v>108.2</v>
      </c>
      <c r="H21" s="569" t="n">
        <v>234.66</v>
      </c>
    </row>
    <row r="22" ht="42" customHeight="1">
      <c r="A22" s="266" t="inlineStr">
        <is>
          <t>Other Non-Cash Items &amp; Reconciliation Adjustments - Cash Flow - to Reconcile</t>
        </is>
      </c>
      <c r="B22" s="265" t="n">
        <v>7.02</v>
      </c>
      <c r="C22" s="265" t="n">
        <v>9.050000000000001</v>
      </c>
      <c r="D22" s="265" t="n">
        <v>9.92</v>
      </c>
      <c r="E22" s="265" t="n">
        <v>13.58</v>
      </c>
      <c r="F22" s="265" t="n">
        <v>5.38</v>
      </c>
      <c r="G22" s="267" t="n">
        <v>-10.79</v>
      </c>
      <c r="H22" s="265" t="n">
        <v>55.05</v>
      </c>
    </row>
    <row r="23" ht="42" customHeight="1">
      <c r="A23" s="266" t="inlineStr">
        <is>
          <t>Depreciation, Depletion &amp; Amortization including Impairment - Cash Flow - to Reconcile</t>
        </is>
      </c>
      <c r="B23" s="265" t="n">
        <v>77.19</v>
      </c>
      <c r="C23" s="265" t="n">
        <v>83.5</v>
      </c>
      <c r="D23" s="265" t="n">
        <v>88.56</v>
      </c>
      <c r="E23" s="265" t="n">
        <v>93.02</v>
      </c>
      <c r="F23" s="265" t="n">
        <v>96.33</v>
      </c>
      <c r="G23" s="569" t="n">
        <v>130.04</v>
      </c>
      <c r="H23" s="569" t="n">
        <v>182.83</v>
      </c>
    </row>
    <row r="24" ht="42" customHeight="1">
      <c r="A24" s="268" t="inlineStr">
        <is>
          <t>Depreciation &amp; Depletion - Property, Plant &amp; Equipment - Cash Flow - to Reconcile</t>
        </is>
      </c>
      <c r="B24" s="265" t="n">
        <v>77.19</v>
      </c>
      <c r="C24" s="265" t="n">
        <v>83.5</v>
      </c>
      <c r="D24" s="265" t="n">
        <v>88.56</v>
      </c>
      <c r="E24" s="265" t="n">
        <v>93.02</v>
      </c>
      <c r="F24" s="265" t="n">
        <v>96.33</v>
      </c>
      <c r="G24" s="569" t="n">
        <v>130.04</v>
      </c>
      <c r="H24" s="569" t="n">
        <v>175.33</v>
      </c>
    </row>
    <row r="25" ht="42" customHeight="1">
      <c r="A25" s="268" t="inlineStr">
        <is>
          <t>Impairment - Property, Plant &amp; Equipment including Intangible Assets - Cash Flow - to Reconcile</t>
        </is>
      </c>
      <c r="B25" s="269" t="n"/>
      <c r="C25" s="269" t="n"/>
      <c r="D25" s="269" t="n"/>
      <c r="E25" s="269" t="n"/>
      <c r="F25" s="269" t="n"/>
      <c r="G25" s="269" t="n"/>
      <c r="H25" s="265" t="n">
        <v>7.5</v>
      </c>
    </row>
    <row r="26" ht="42" customHeight="1">
      <c r="A26" s="266" t="inlineStr">
        <is>
          <t>Deferred Income Taxes &amp; Income Tax Credits - Cash Flow - to Reconcile</t>
        </is>
      </c>
      <c r="B26" s="267" t="n">
        <v>-12.98</v>
      </c>
      <c r="C26" s="267" t="n">
        <v>-6.39</v>
      </c>
      <c r="D26" s="267" t="n">
        <v>-6</v>
      </c>
      <c r="E26" s="267" t="n">
        <v>-15.63</v>
      </c>
      <c r="F26" s="265" t="n">
        <v>8.880000000000001</v>
      </c>
      <c r="G26" s="267" t="n">
        <v>-26.53</v>
      </c>
      <c r="H26" s="267" t="n">
        <v>-22</v>
      </c>
    </row>
    <row r="27" ht="28" customHeight="1">
      <c r="A27" s="266" t="inlineStr">
        <is>
          <t>Share Based Payments - Cash Flow - to Reconcile</t>
        </is>
      </c>
      <c r="B27" s="265" t="n">
        <v>9.279999999999999</v>
      </c>
      <c r="C27" s="265" t="n">
        <v>10.33</v>
      </c>
      <c r="D27" s="265" t="n">
        <v>10.13</v>
      </c>
      <c r="E27" s="265" t="n">
        <v>9.06</v>
      </c>
      <c r="F27" s="265" t="n">
        <v>12.65</v>
      </c>
      <c r="G27" s="265" t="n">
        <v>15.48</v>
      </c>
      <c r="H27" s="265" t="n">
        <v>18.77</v>
      </c>
    </row>
    <row r="28" ht="28" customHeight="1">
      <c r="A28" s="263" t="inlineStr">
        <is>
          <t>Cash Flow from Operating Activities before Changes in Working Capital</t>
        </is>
      </c>
      <c r="B28" s="569" t="n">
        <v>366.2</v>
      </c>
      <c r="C28" s="569" t="n">
        <v>456.23</v>
      </c>
      <c r="D28" s="569" t="n">
        <v>438.47</v>
      </c>
      <c r="E28" s="569" t="n">
        <v>429.78</v>
      </c>
      <c r="F28" s="569" t="n">
        <v>513.86</v>
      </c>
      <c r="G28" s="569" t="n">
        <v>552.58</v>
      </c>
      <c r="H28" s="569" t="n">
        <v>793.74</v>
      </c>
    </row>
    <row r="29" ht="28" customHeight="1">
      <c r="A29" s="263" t="inlineStr">
        <is>
          <t>Working Capital - Increase/(Decrease) - Cash Flow</t>
        </is>
      </c>
      <c r="B29" s="267" t="n">
        <v>-37.72</v>
      </c>
      <c r="C29" s="267" t="n">
        <v>-18.85</v>
      </c>
      <c r="D29" s="267" t="n">
        <v>-29.34</v>
      </c>
      <c r="E29" s="265" t="n">
        <v>14.3</v>
      </c>
      <c r="F29" s="267" t="n">
        <v>-46</v>
      </c>
      <c r="G29" s="570" t="n">
        <v>-103.85</v>
      </c>
      <c r="H29" s="570" t="n">
        <v>-121.37</v>
      </c>
    </row>
    <row r="30" ht="28" customHeight="1">
      <c r="A30" s="266" t="inlineStr">
        <is>
          <t>Accounts Receivables - Decrease/(Increase) - Cash Flow</t>
        </is>
      </c>
      <c r="B30" s="267" t="n">
        <v>-28.57</v>
      </c>
      <c r="C30" s="267" t="n">
        <v>-17.39</v>
      </c>
      <c r="D30" s="265" t="n">
        <v>55.12</v>
      </c>
      <c r="E30" s="267" t="n">
        <v>-26.92</v>
      </c>
      <c r="F30" s="267" t="n">
        <v>-33.42</v>
      </c>
      <c r="G30" s="267" t="n">
        <v>-77.23999999999999</v>
      </c>
      <c r="H30" s="267" t="n">
        <v>-19.52</v>
      </c>
    </row>
    <row r="31" ht="28" customHeight="1">
      <c r="A31" s="266" t="inlineStr">
        <is>
          <t>Inventories - Decrease/(Increase) - Cash Flow</t>
        </is>
      </c>
      <c r="B31" s="267" t="n">
        <v>-49.45</v>
      </c>
      <c r="C31" s="267" t="n">
        <v>-30.08</v>
      </c>
      <c r="D31" s="267" t="n">
        <v>-28.31</v>
      </c>
      <c r="E31" s="267" t="n">
        <v>-10.12</v>
      </c>
      <c r="F31" s="267" t="n">
        <v>-89.19</v>
      </c>
      <c r="G31" s="570" t="n">
        <v>-124.78</v>
      </c>
      <c r="H31" s="570" t="n">
        <v>-132.93</v>
      </c>
    </row>
    <row r="32" ht="28" customHeight="1">
      <c r="A32" s="266" t="inlineStr">
        <is>
          <t>Prepaid Expenses - Decrease/(Increase) - Cash Flow</t>
        </is>
      </c>
      <c r="B32" s="265" t="n">
        <v>0.4</v>
      </c>
      <c r="C32" s="265" t="n">
        <v>0.61</v>
      </c>
      <c r="D32" s="265" t="n">
        <v>2.47</v>
      </c>
      <c r="E32" s="267" t="n">
        <v>-4.79</v>
      </c>
      <c r="F32" s="267" t="n">
        <v>-10.08</v>
      </c>
      <c r="G32" s="265" t="n">
        <v>5.6</v>
      </c>
      <c r="H32" s="267" t="n">
        <v>-23.03</v>
      </c>
    </row>
    <row r="33" ht="28" customHeight="1">
      <c r="A33" s="266" t="inlineStr">
        <is>
          <t>Accounts Payable - Increase/(Decrease) - Cash Flow</t>
        </is>
      </c>
      <c r="B33" s="265" t="n">
        <v>17.4</v>
      </c>
      <c r="C33" s="267" t="n">
        <v>-3.85</v>
      </c>
      <c r="D33" s="267" t="n">
        <v>-30.33</v>
      </c>
      <c r="E33" s="265" t="n">
        <v>6.91</v>
      </c>
      <c r="F33" s="265" t="n">
        <v>25.57</v>
      </c>
      <c r="G33" s="265" t="n">
        <v>10.98</v>
      </c>
      <c r="H33" s="267" t="n">
        <v>-9.82</v>
      </c>
    </row>
    <row r="34" ht="28" customHeight="1">
      <c r="A34" s="266" t="inlineStr">
        <is>
          <t>Accrued Expenses - Increase/(Decrease) - Cash Flow</t>
        </is>
      </c>
      <c r="B34" s="265" t="n">
        <v>22.12</v>
      </c>
      <c r="C34" s="265" t="n">
        <v>17.15</v>
      </c>
      <c r="D34" s="267" t="n">
        <v>-37.9</v>
      </c>
      <c r="E34" s="265" t="n">
        <v>33.63</v>
      </c>
      <c r="F34" s="265" t="n">
        <v>34.12</v>
      </c>
      <c r="G34" s="265" t="n">
        <v>72.59</v>
      </c>
      <c r="H34" s="265" t="n">
        <v>22.1</v>
      </c>
    </row>
    <row r="35" ht="28" customHeight="1">
      <c r="A35" s="266" t="inlineStr">
        <is>
          <t>Taxes Payable - Increase/(Decrease) - Cash Flow</t>
        </is>
      </c>
      <c r="B35" s="267" t="n">
        <v>-12.53</v>
      </c>
      <c r="C35" s="265" t="n">
        <v>1.3</v>
      </c>
      <c r="D35" s="267" t="n">
        <v>-9.59</v>
      </c>
      <c r="E35" s="265" t="n">
        <v>2.82</v>
      </c>
      <c r="F35" s="265" t="n">
        <v>11.6</v>
      </c>
      <c r="G35" s="267" t="n">
        <v>-4.5</v>
      </c>
      <c r="H35" s="265" t="n">
        <v>20.22</v>
      </c>
    </row>
    <row r="36" ht="42" customHeight="1">
      <c r="A36" s="266" t="inlineStr">
        <is>
          <t>Other Assets &amp; Liabilities - Increase/(Decrease) - Net - Cash Flow</t>
        </is>
      </c>
      <c r="B36" s="265" t="n">
        <v>12.91</v>
      </c>
      <c r="C36" s="265" t="n">
        <v>13.41</v>
      </c>
      <c r="D36" s="265" t="n">
        <v>19.2</v>
      </c>
      <c r="E36" s="265" t="n">
        <v>12.78</v>
      </c>
      <c r="F36" s="265" t="n">
        <v>15.4</v>
      </c>
      <c r="G36" s="265" t="n">
        <v>13.51</v>
      </c>
      <c r="H36" s="265" t="n">
        <v>21.62</v>
      </c>
    </row>
    <row r="37" ht="28" customHeight="1">
      <c r="A37" s="271" t="inlineStr">
        <is>
          <t>Net Cash Flow from Operating Activities</t>
        </is>
      </c>
      <c r="B37" s="571" t="n">
        <v>328.49</v>
      </c>
      <c r="C37" s="571" t="n">
        <v>437.38</v>
      </c>
      <c r="D37" s="571" t="n">
        <v>409.13</v>
      </c>
      <c r="E37" s="571" t="n">
        <v>444.08</v>
      </c>
      <c r="F37" s="571" t="n">
        <v>467.86</v>
      </c>
      <c r="G37" s="571" t="n">
        <v>448.74</v>
      </c>
      <c r="H37" s="571" t="n">
        <v>672.37</v>
      </c>
    </row>
    <row r="38">
      <c r="A38" s="261" t="inlineStr">
        <is>
          <t>Investing Cash Flow</t>
        </is>
      </c>
      <c r="B38" s="262" t="n"/>
      <c r="C38" s="262" t="n"/>
      <c r="D38" s="262" t="n"/>
      <c r="E38" s="262" t="n"/>
      <c r="F38" s="262" t="n"/>
      <c r="G38" s="262" t="n"/>
      <c r="H38" s="262" t="n"/>
    </row>
    <row r="39" ht="28" customHeight="1">
      <c r="A39" s="263" t="inlineStr">
        <is>
          <t>Capital Expenditures - Net - Cash Flow</t>
        </is>
      </c>
      <c r="B39" s="265" t="n">
        <v>41.87</v>
      </c>
      <c r="C39" s="265" t="n">
        <v>28.94</v>
      </c>
      <c r="D39" s="265" t="n">
        <v>22.94</v>
      </c>
      <c r="E39" s="265" t="n">
        <v>36.18</v>
      </c>
      <c r="F39" s="262" t="n"/>
      <c r="G39" s="265" t="n">
        <v>49.43</v>
      </c>
      <c r="H39" s="265" t="n">
        <v>58.26</v>
      </c>
    </row>
    <row r="40" ht="28" customHeight="1">
      <c r="A40" s="266" t="inlineStr">
        <is>
          <t>Property, Plant &amp; Equipment - Purchased/(Sold) - Net - Cash Flow</t>
        </is>
      </c>
      <c r="B40" s="265" t="n">
        <v>41.87</v>
      </c>
      <c r="C40" s="265" t="n">
        <v>28.94</v>
      </c>
      <c r="D40" s="265" t="n">
        <v>22.94</v>
      </c>
      <c r="E40" s="265" t="n">
        <v>36.18</v>
      </c>
      <c r="F40" s="265" t="n">
        <v>31.98</v>
      </c>
      <c r="G40" s="265" t="n">
        <v>49.43</v>
      </c>
      <c r="H40" s="265" t="n">
        <v>58.26</v>
      </c>
    </row>
    <row r="41" ht="28" customHeight="1">
      <c r="A41" s="268" t="inlineStr">
        <is>
          <t>Property, Plant &amp; Equipment - Purchased - Cash Flow</t>
        </is>
      </c>
      <c r="B41" s="265" t="n">
        <v>41.87</v>
      </c>
      <c r="C41" s="265" t="n">
        <v>28.94</v>
      </c>
      <c r="D41" s="265" t="n">
        <v>22.94</v>
      </c>
      <c r="E41" s="265" t="n">
        <v>36.18</v>
      </c>
      <c r="F41" s="265" t="n">
        <v>31.98</v>
      </c>
      <c r="G41" s="265" t="n">
        <v>49.43</v>
      </c>
      <c r="H41" s="265" t="n">
        <v>58.26</v>
      </c>
    </row>
    <row r="42">
      <c r="A42" s="266" t="inlineStr">
        <is>
          <t>Capital Expenditures - Total</t>
        </is>
      </c>
      <c r="B42" s="265" t="n">
        <v>41.87</v>
      </c>
      <c r="C42" s="265" t="n">
        <v>28.94</v>
      </c>
      <c r="D42" s="265" t="n">
        <v>22.94</v>
      </c>
      <c r="E42" s="265" t="n">
        <v>36.18</v>
      </c>
      <c r="F42" s="265" t="n">
        <v>31.98</v>
      </c>
      <c r="G42" s="265" t="n">
        <v>49.43</v>
      </c>
      <c r="H42" s="265" t="n">
        <v>58.26</v>
      </c>
    </row>
    <row r="43" ht="42" customHeight="1">
      <c r="A43" s="263" t="inlineStr">
        <is>
          <t>Acquisition &amp; Disposals of Business - Assets - Sold/(Acquired) - Net - Cash Flow</t>
        </is>
      </c>
      <c r="B43" s="267" t="n">
        <v>-59.77</v>
      </c>
      <c r="C43" s="570" t="n">
        <v>-240.84</v>
      </c>
      <c r="D43" s="570" t="n">
        <v>-163.94</v>
      </c>
      <c r="E43" s="570" t="n">
        <v>-136.5</v>
      </c>
      <c r="F43" s="570" t="n">
        <v>-347.31</v>
      </c>
      <c r="G43" s="570" t="n">
        <v>-2421.79</v>
      </c>
      <c r="H43" s="570" t="n">
        <v>-219.29</v>
      </c>
    </row>
    <row r="44">
      <c r="A44" s="266" t="inlineStr">
        <is>
          <t>Acquisition of Business - Cash Flow</t>
        </is>
      </c>
      <c r="B44" s="265" t="n">
        <v>59.78</v>
      </c>
      <c r="C44" s="569" t="n">
        <v>240.84</v>
      </c>
      <c r="D44" s="569" t="n">
        <v>163.94</v>
      </c>
      <c r="E44" s="569" t="n">
        <v>136.5</v>
      </c>
      <c r="F44" s="569" t="n">
        <v>347.31</v>
      </c>
      <c r="G44" s="569" t="n">
        <v>2421.79</v>
      </c>
      <c r="H44" s="569" t="n">
        <v>219.29</v>
      </c>
    </row>
    <row r="45" ht="28" customHeight="1">
      <c r="A45" s="263" t="inlineStr">
        <is>
          <t>Investments excluding Loans - Decrease/(Increase) - Cash Flow</t>
        </is>
      </c>
      <c r="B45" s="267" t="n">
        <v>-11.5</v>
      </c>
      <c r="C45" s="267" t="n">
        <v>-13.7</v>
      </c>
      <c r="D45" s="267" t="n">
        <v>-15.9</v>
      </c>
      <c r="E45" s="267" t="n">
        <v>-14</v>
      </c>
      <c r="F45" s="267" t="n">
        <v>-15.3</v>
      </c>
      <c r="G45" s="267" t="n">
        <v>-18.89</v>
      </c>
      <c r="H45" s="267" t="n">
        <v>-19.91</v>
      </c>
    </row>
    <row r="46" ht="42" customHeight="1">
      <c r="A46" s="266" t="inlineStr">
        <is>
          <t>Investment Securities - Unclassified - Sold/(Purchased) - Net - Total - Cash Flow</t>
        </is>
      </c>
      <c r="B46" s="267" t="n">
        <v>-11.5</v>
      </c>
      <c r="C46" s="267" t="n">
        <v>-13.7</v>
      </c>
      <c r="D46" s="267" t="n">
        <v>-15.9</v>
      </c>
      <c r="E46" s="267" t="n">
        <v>-14</v>
      </c>
      <c r="F46" s="267" t="n">
        <v>-15.3</v>
      </c>
      <c r="G46" s="267" t="n">
        <v>-18.89</v>
      </c>
      <c r="H46" s="267" t="n">
        <v>-19.91</v>
      </c>
    </row>
    <row r="47" ht="28" customHeight="1">
      <c r="A47" s="263" t="inlineStr">
        <is>
          <t>Other Investing Cash Flow - Decrease/(Increase)</t>
        </is>
      </c>
      <c r="B47" s="267" t="n">
        <v>-0.36</v>
      </c>
      <c r="C47" s="265" t="n">
        <v>2.83</v>
      </c>
      <c r="D47" s="265" t="n">
        <v>3.74</v>
      </c>
      <c r="E47" s="265" t="n">
        <v>3.23</v>
      </c>
      <c r="F47" s="267" t="n">
        <v>-1.24</v>
      </c>
      <c r="G47" s="265" t="n">
        <v>5.65</v>
      </c>
      <c r="H47" s="265" t="n">
        <v>4.26</v>
      </c>
    </row>
    <row r="48" ht="28" customHeight="1">
      <c r="A48" s="271" t="inlineStr">
        <is>
          <t>Net Cash Flow from Investing Activities</t>
        </is>
      </c>
      <c r="B48" s="572" t="n">
        <v>-113.51</v>
      </c>
      <c r="C48" s="572" t="n">
        <v>-280.65</v>
      </c>
      <c r="D48" s="572" t="n">
        <v>-199.04</v>
      </c>
      <c r="E48" s="572" t="n">
        <v>-183.45</v>
      </c>
      <c r="F48" s="572" t="n">
        <v>-395.83</v>
      </c>
      <c r="G48" s="572" t="n">
        <v>-2484.47</v>
      </c>
      <c r="H48" s="572" t="n">
        <v>-293.2</v>
      </c>
    </row>
    <row r="49">
      <c r="A49" s="261" t="inlineStr">
        <is>
          <t>Financing Cash Flow</t>
        </is>
      </c>
      <c r="B49" s="262" t="n"/>
      <c r="C49" s="262" t="n"/>
      <c r="D49" s="262" t="n"/>
      <c r="E49" s="262" t="n"/>
      <c r="F49" s="262" t="n"/>
      <c r="G49" s="262" t="n"/>
      <c r="H49" s="262" t="n"/>
    </row>
    <row r="50" ht="28" customHeight="1">
      <c r="A50" s="263" t="inlineStr">
        <is>
          <t>Dividends Paid - Cash - Total - Cash Flow</t>
        </is>
      </c>
      <c r="B50" s="265" t="n">
        <v>15.36</v>
      </c>
      <c r="C50" s="265" t="n">
        <v>18.69</v>
      </c>
      <c r="D50" s="265" t="n">
        <v>21.55</v>
      </c>
      <c r="E50" s="265" t="n">
        <v>23</v>
      </c>
      <c r="F50" s="265" t="n">
        <v>24.47</v>
      </c>
      <c r="G50" s="265" t="n">
        <v>27.37</v>
      </c>
      <c r="H50" s="265" t="n">
        <v>29.07</v>
      </c>
    </row>
    <row r="51">
      <c r="A51" s="266" t="inlineStr">
        <is>
          <t>Dividends - Common - Cash Paid</t>
        </is>
      </c>
      <c r="B51" s="265" t="n">
        <v>15.36</v>
      </c>
      <c r="C51" s="265" t="n">
        <v>18.69</v>
      </c>
      <c r="D51" s="265" t="n">
        <v>21.55</v>
      </c>
      <c r="E51" s="265" t="n">
        <v>23</v>
      </c>
      <c r="F51" s="265" t="n">
        <v>24.47</v>
      </c>
      <c r="G51" s="265" t="n">
        <v>27.37</v>
      </c>
      <c r="H51" s="265" t="n">
        <v>29.07</v>
      </c>
    </row>
    <row r="52" ht="28" customHeight="1">
      <c r="A52" s="263" t="inlineStr">
        <is>
          <t>Stock - Total - Issuance/(Retirement) - Net - Cash Flow</t>
        </is>
      </c>
      <c r="B52" s="267" t="n">
        <v>-20.95</v>
      </c>
      <c r="C52" s="267" t="n">
        <v>-55.47</v>
      </c>
      <c r="D52" s="267" t="n">
        <v>-5.16</v>
      </c>
      <c r="E52" s="265" t="n">
        <v>1.55</v>
      </c>
      <c r="F52" s="267" t="n">
        <v>-23.59</v>
      </c>
      <c r="G52" s="267" t="n">
        <v>-8.130000000000001</v>
      </c>
      <c r="H52" s="267" t="n">
        <v>-21.96</v>
      </c>
    </row>
    <row r="53">
      <c r="A53" s="266" t="inlineStr">
        <is>
          <t>Options Exercised - Cash Flow</t>
        </is>
      </c>
      <c r="B53" s="267" t="n">
        <v>-20.95</v>
      </c>
      <c r="C53" s="267" t="n">
        <v>-55.47</v>
      </c>
      <c r="D53" s="267" t="n">
        <v>-5.16</v>
      </c>
      <c r="E53" s="265" t="n">
        <v>1.55</v>
      </c>
      <c r="F53" s="267" t="n">
        <v>-23.59</v>
      </c>
      <c r="G53" s="267" t="n">
        <v>-8.130000000000001</v>
      </c>
      <c r="H53" s="267" t="n">
        <v>-21.96</v>
      </c>
    </row>
    <row r="54" ht="28" customHeight="1">
      <c r="A54" s="263" t="inlineStr">
        <is>
          <t>Minority Interests &amp; Joint Ventures - Net - Cash Flow</t>
        </is>
      </c>
      <c r="B54" s="269" t="n"/>
      <c r="C54" s="269" t="n"/>
      <c r="D54" s="265" t="n">
        <v>6.85</v>
      </c>
      <c r="E54" s="267" t="n">
        <v>-1.8</v>
      </c>
      <c r="F54" s="267" t="n">
        <v>-8.73</v>
      </c>
      <c r="G54" s="267" t="n">
        <v>-2.73</v>
      </c>
      <c r="H54" s="267" t="n">
        <v>-26.57</v>
      </c>
    </row>
    <row r="55" ht="42" customHeight="1">
      <c r="A55" s="263" t="inlineStr">
        <is>
          <t>Debt - Long-Term &amp; Short-Term - Issuance/(Retirement) - Total - Cash Flow</t>
        </is>
      </c>
      <c r="B55" s="570" t="n">
        <v>-148</v>
      </c>
      <c r="C55" s="265" t="n">
        <v>30</v>
      </c>
      <c r="D55" s="569" t="n">
        <v>177</v>
      </c>
      <c r="E55" s="570" t="n">
        <v>-505</v>
      </c>
      <c r="F55" s="265" t="n">
        <v>50</v>
      </c>
      <c r="G55" s="569" t="n">
        <v>2164.45</v>
      </c>
      <c r="H55" s="570" t="n">
        <v>-248.92</v>
      </c>
    </row>
    <row r="56" ht="28" customHeight="1">
      <c r="A56" s="266" t="inlineStr">
        <is>
          <t>Debt - Issued/(Reduced) - Long-Term &amp; Short-Term - Cash Flow</t>
        </is>
      </c>
      <c r="B56" s="570" t="n">
        <v>-148</v>
      </c>
      <c r="C56" s="265" t="n">
        <v>30</v>
      </c>
      <c r="D56" s="569" t="n">
        <v>177</v>
      </c>
      <c r="E56" s="570" t="n">
        <v>-505</v>
      </c>
      <c r="F56" s="269" t="n"/>
      <c r="G56" s="269" t="n"/>
      <c r="H56" s="269" t="n"/>
    </row>
    <row r="57" ht="28" customHeight="1">
      <c r="A57" s="268" t="inlineStr">
        <is>
          <t>Debt - Issued - Long-Term &amp; Short-Term - Cash Flow</t>
        </is>
      </c>
      <c r="B57" s="265" t="n">
        <v>56</v>
      </c>
      <c r="C57" s="569" t="n">
        <v>313</v>
      </c>
      <c r="D57" s="569" t="n">
        <v>245</v>
      </c>
      <c r="E57" s="269" t="n"/>
      <c r="F57" s="269" t="n"/>
      <c r="G57" s="269" t="n"/>
      <c r="H57" s="269" t="n"/>
    </row>
    <row r="58" ht="28" customHeight="1">
      <c r="A58" s="268" t="inlineStr">
        <is>
          <t>Debt - Reduced - Long-Term &amp; Short-Term - Cash Flow</t>
        </is>
      </c>
      <c r="B58" s="569" t="n">
        <v>204</v>
      </c>
      <c r="C58" s="569" t="n">
        <v>283</v>
      </c>
      <c r="D58" s="265" t="n">
        <v>68</v>
      </c>
      <c r="E58" s="569" t="n">
        <v>505</v>
      </c>
      <c r="F58" s="269" t="n"/>
      <c r="G58" s="269" t="n"/>
      <c r="H58" s="269" t="n"/>
    </row>
    <row r="59" ht="28" customHeight="1">
      <c r="A59" s="266" t="inlineStr">
        <is>
          <t>Debt - Issued/(Reduced) - Short-Term - Total - Cash Flow</t>
        </is>
      </c>
      <c r="B59" s="269" t="n"/>
      <c r="C59" s="269" t="n"/>
      <c r="D59" s="269" t="n"/>
      <c r="E59" s="269" t="n"/>
      <c r="F59" s="269" t="n"/>
      <c r="G59" s="269" t="n"/>
      <c r="H59" s="267" t="n">
        <v>-13.92</v>
      </c>
    </row>
    <row r="60" ht="28" customHeight="1">
      <c r="A60" s="268" t="inlineStr">
        <is>
          <t>Debt - Reduced - Short-Term - Cash Flow</t>
        </is>
      </c>
      <c r="B60" s="269" t="n"/>
      <c r="C60" s="269" t="n"/>
      <c r="D60" s="269" t="n"/>
      <c r="E60" s="269" t="n"/>
      <c r="F60" s="269" t="n"/>
      <c r="G60" s="269" t="n"/>
      <c r="H60" s="265" t="n">
        <v>13.92</v>
      </c>
    </row>
    <row r="61" ht="28" customHeight="1">
      <c r="A61" s="266" t="inlineStr">
        <is>
          <t>Debt - Issued/(Reduced) - Long-Term - Cash Flow</t>
        </is>
      </c>
      <c r="B61" s="269" t="n"/>
      <c r="C61" s="269" t="n"/>
      <c r="D61" s="269" t="n"/>
      <c r="E61" s="269" t="n"/>
      <c r="F61" s="265" t="n">
        <v>50</v>
      </c>
      <c r="G61" s="569" t="n">
        <v>2164.45</v>
      </c>
      <c r="H61" s="570" t="n">
        <v>-235</v>
      </c>
    </row>
    <row r="62" ht="28" customHeight="1">
      <c r="A62" s="268" t="inlineStr">
        <is>
          <t>Debt - Issued - Long-Term - Cash Flow</t>
        </is>
      </c>
      <c r="B62" s="269" t="n"/>
      <c r="C62" s="269" t="n"/>
      <c r="D62" s="269" t="n"/>
      <c r="E62" s="269" t="n"/>
      <c r="F62" s="569" t="n">
        <v>262</v>
      </c>
      <c r="G62" s="569" t="n">
        <v>3153.45</v>
      </c>
      <c r="H62" s="569" t="n">
        <v>130</v>
      </c>
    </row>
    <row r="63" ht="28" customHeight="1">
      <c r="A63" s="268" t="inlineStr">
        <is>
          <t>Debt - Reduced - Long-Term - Cash Flow</t>
        </is>
      </c>
      <c r="B63" s="269" t="n"/>
      <c r="C63" s="269" t="n"/>
      <c r="D63" s="269" t="n"/>
      <c r="E63" s="269" t="n"/>
      <c r="F63" s="569" t="n">
        <v>212</v>
      </c>
      <c r="G63" s="569" t="n">
        <v>989</v>
      </c>
      <c r="H63" s="569" t="n">
        <v>365</v>
      </c>
    </row>
    <row r="64" ht="28" customHeight="1">
      <c r="A64" s="263" t="inlineStr">
        <is>
          <t>Other Financing Cash Flow - Increase/(Decrease)</t>
        </is>
      </c>
      <c r="B64" s="267" t="n">
        <v>-23.22</v>
      </c>
      <c r="C64" s="570" t="n">
        <v>-115.56</v>
      </c>
      <c r="D64" s="267" t="n">
        <v>-19.39</v>
      </c>
      <c r="E64" s="267" t="n">
        <v>-30.72</v>
      </c>
      <c r="F64" s="267" t="n">
        <v>-27.04</v>
      </c>
      <c r="G64" s="267" t="n">
        <v>-61.17</v>
      </c>
      <c r="H64" s="267" t="n">
        <v>-62.87</v>
      </c>
    </row>
    <row r="65" ht="28" customHeight="1">
      <c r="A65" s="271" t="inlineStr">
        <is>
          <t>Net Cash Flow from Financing Activities</t>
        </is>
      </c>
      <c r="B65" s="572" t="n">
        <v>-207.53</v>
      </c>
      <c r="C65" s="572" t="n">
        <v>-159.72</v>
      </c>
      <c r="D65" s="571" t="n">
        <v>137.74</v>
      </c>
      <c r="E65" s="572" t="n">
        <v>-558.97</v>
      </c>
      <c r="F65" s="274" t="n">
        <v>-33.83</v>
      </c>
      <c r="G65" s="571" t="n">
        <v>2065.05</v>
      </c>
      <c r="H65" s="572" t="n">
        <v>-389.39</v>
      </c>
    </row>
    <row r="66">
      <c r="A66" s="261" t="inlineStr">
        <is>
          <t>Foreign Exchange Effects</t>
        </is>
      </c>
      <c r="B66" s="262" t="n"/>
      <c r="C66" s="262" t="n"/>
      <c r="D66" s="262" t="n"/>
      <c r="E66" s="262" t="n"/>
      <c r="F66" s="262" t="n"/>
      <c r="G66" s="262" t="n"/>
      <c r="H66" s="262" t="n"/>
    </row>
    <row r="67">
      <c r="A67" s="263" t="inlineStr">
        <is>
          <t>Foreign Exchange Effects - Cash Flow</t>
        </is>
      </c>
      <c r="B67" s="265" t="n">
        <v>0.09</v>
      </c>
      <c r="C67" s="265" t="n">
        <v>0.39</v>
      </c>
      <c r="D67" s="265" t="n">
        <v>2.03</v>
      </c>
      <c r="E67" s="267" t="n">
        <v>-0.22</v>
      </c>
      <c r="F67" s="267" t="n">
        <v>-6.99</v>
      </c>
      <c r="G67" s="265" t="n">
        <v>2.23</v>
      </c>
      <c r="H67" s="265" t="n">
        <v>1.28</v>
      </c>
    </row>
    <row r="68">
      <c r="A68" s="261" t="inlineStr">
        <is>
          <t>Change in Cash</t>
        </is>
      </c>
      <c r="B68" s="262" t="n"/>
      <c r="C68" s="262" t="n"/>
      <c r="D68" s="262" t="n"/>
      <c r="E68" s="262" t="n"/>
      <c r="F68" s="262" t="n"/>
      <c r="G68" s="262" t="n"/>
      <c r="H68" s="262" t="n"/>
    </row>
    <row r="69">
      <c r="A69" s="271" t="inlineStr">
        <is>
          <t>Net Change in Cash - Total</t>
        </is>
      </c>
      <c r="B69" s="275" t="n">
        <v>7.53</v>
      </c>
      <c r="C69" s="274" t="n">
        <v>-2.6</v>
      </c>
      <c r="D69" s="571" t="n">
        <v>349.85</v>
      </c>
      <c r="E69" s="572" t="n">
        <v>-298.55</v>
      </c>
      <c r="F69" s="275" t="n">
        <v>31.21</v>
      </c>
      <c r="G69" s="275" t="n">
        <v>31.54</v>
      </c>
      <c r="H69" s="274" t="n">
        <v>-8.94</v>
      </c>
    </row>
    <row r="70" ht="28" customHeight="1">
      <c r="A70" s="266" t="inlineStr">
        <is>
          <t>Net Cash from Continuing Operations</t>
        </is>
      </c>
      <c r="B70" s="265" t="n">
        <v>7.53</v>
      </c>
      <c r="C70" s="267" t="n">
        <v>-2.6</v>
      </c>
      <c r="D70" s="569" t="n">
        <v>349.85</v>
      </c>
      <c r="E70" s="570" t="n">
        <v>-298.55</v>
      </c>
      <c r="F70" s="265" t="n">
        <v>31.21</v>
      </c>
      <c r="G70" s="265" t="n">
        <v>31.54</v>
      </c>
      <c r="H70" s="267" t="n">
        <v>-8.94</v>
      </c>
    </row>
    <row r="71">
      <c r="A71" s="263" t="inlineStr">
        <is>
          <t>Net Cash - Beginning Balance</t>
        </is>
      </c>
      <c r="B71" s="265" t="n">
        <v>52.07</v>
      </c>
      <c r="C71" s="265" t="n">
        <v>59.6</v>
      </c>
      <c r="D71" s="265" t="n">
        <v>57</v>
      </c>
      <c r="E71" s="569" t="n">
        <v>406.85</v>
      </c>
      <c r="F71" s="569" t="n">
        <v>108.3</v>
      </c>
      <c r="G71" s="569" t="n">
        <v>139.5</v>
      </c>
      <c r="H71" s="569" t="n">
        <v>171.05</v>
      </c>
    </row>
    <row r="72">
      <c r="A72" s="263" t="inlineStr">
        <is>
          <t>Net Cash - Ending Balance</t>
        </is>
      </c>
      <c r="B72" s="265" t="n">
        <v>59.6</v>
      </c>
      <c r="C72" s="265" t="n">
        <v>57</v>
      </c>
      <c r="D72" s="569" t="n">
        <v>406.85</v>
      </c>
      <c r="E72" s="569" t="n">
        <v>108.3</v>
      </c>
      <c r="F72" s="569" t="n">
        <v>139.5</v>
      </c>
      <c r="G72" s="569" t="n">
        <v>171.05</v>
      </c>
      <c r="H72" s="569" t="n">
        <v>162.1</v>
      </c>
    </row>
    <row r="73">
      <c r="A73" s="261" t="inlineStr">
        <is>
          <t>Supplemental</t>
        </is>
      </c>
      <c r="B73" s="262" t="n"/>
      <c r="C73" s="262" t="n"/>
      <c r="D73" s="262" t="n"/>
      <c r="E73" s="262" t="n"/>
      <c r="F73" s="262" t="n"/>
      <c r="G73" s="262" t="n"/>
      <c r="H73" s="262" t="n"/>
    </row>
    <row r="74" ht="28" customHeight="1">
      <c r="A74" s="263" t="inlineStr">
        <is>
          <t>Income Taxes - Paid/(Reimbursed) - Cash Flow - Supplemental</t>
        </is>
      </c>
      <c r="B74" s="265" t="n">
        <v>90.48999999999999</v>
      </c>
      <c r="C74" s="265" t="n">
        <v>82.20999999999999</v>
      </c>
      <c r="D74" s="265" t="n">
        <v>42.55</v>
      </c>
      <c r="E74" s="265" t="n">
        <v>67.66</v>
      </c>
      <c r="F74" s="265" t="n">
        <v>81</v>
      </c>
      <c r="G74" s="569" t="n">
        <v>138.67</v>
      </c>
      <c r="H74" s="569" t="n">
        <v>114.85</v>
      </c>
    </row>
    <row r="75" ht="28" customHeight="1">
      <c r="A75" s="263" t="inlineStr">
        <is>
          <t>Interest Paid - Cash Flow - Supplemental</t>
        </is>
      </c>
      <c r="B75" s="265" t="n">
        <v>19.23</v>
      </c>
      <c r="C75" s="265" t="n">
        <v>22.16</v>
      </c>
      <c r="D75" s="265" t="n">
        <v>13.42</v>
      </c>
      <c r="E75" s="265" t="n">
        <v>7.36</v>
      </c>
      <c r="F75" s="265" t="n">
        <v>6.04</v>
      </c>
      <c r="G75" s="265" t="n">
        <v>54.14</v>
      </c>
      <c r="H75" s="569" t="n">
        <v>148.9</v>
      </c>
    </row>
    <row r="76" ht="28" customHeight="1">
      <c r="A76" s="263" t="inlineStr">
        <is>
          <t>CF from Optg Activities before Change in WC &amp; Int Payments</t>
        </is>
      </c>
      <c r="B76" s="569" t="n">
        <v>366.2</v>
      </c>
      <c r="C76" s="569" t="n">
        <v>456.23</v>
      </c>
      <c r="D76" s="569" t="n">
        <v>438.47</v>
      </c>
      <c r="E76" s="569" t="n">
        <v>429.78</v>
      </c>
      <c r="F76" s="569" t="n">
        <v>513.86</v>
      </c>
      <c r="G76" s="569" t="n">
        <v>552.58</v>
      </c>
      <c r="H76" s="569" t="n">
        <v>793.74</v>
      </c>
    </row>
    <row r="77" ht="28" customHeight="1">
      <c r="A77" s="263" t="inlineStr">
        <is>
          <t>Contract Assets - Decrease/(Increase) - Cash Flow</t>
        </is>
      </c>
      <c r="B77" s="269" t="n"/>
      <c r="C77" s="265" t="n">
        <v>11.58</v>
      </c>
      <c r="D77" s="267" t="n">
        <v>-16.4</v>
      </c>
      <c r="E77" s="265" t="n">
        <v>0.38</v>
      </c>
      <c r="F77" s="267" t="n">
        <v>-4.15</v>
      </c>
      <c r="G77" s="267" t="n">
        <v>-11.64</v>
      </c>
      <c r="H77" s="265" t="n">
        <v>1.29</v>
      </c>
    </row>
    <row r="78" ht="28" customHeight="1">
      <c r="A78" s="263" t="inlineStr">
        <is>
          <t>Depreciation, Depletion &amp; Amortization - Cash Flow</t>
        </is>
      </c>
      <c r="B78" s="265" t="n">
        <v>77.19</v>
      </c>
      <c r="C78" s="265" t="n">
        <v>83.5</v>
      </c>
      <c r="D78" s="265" t="n">
        <v>88.56</v>
      </c>
      <c r="E78" s="265" t="n">
        <v>93.02</v>
      </c>
      <c r="F78" s="265" t="n">
        <v>96.33</v>
      </c>
      <c r="G78" s="569" t="n">
        <v>130.04</v>
      </c>
      <c r="H78" s="569" t="n">
        <v>175.33</v>
      </c>
    </row>
    <row r="79">
      <c r="A79" s="263" t="inlineStr">
        <is>
          <t>Free Cash Flow to Equity</t>
        </is>
      </c>
      <c r="B79" s="569" t="n">
        <v>138.62</v>
      </c>
      <c r="C79" s="569" t="n">
        <v>438.44</v>
      </c>
      <c r="D79" s="569" t="n">
        <v>563.1799999999999</v>
      </c>
      <c r="E79" s="267" t="n">
        <v>-97.09999999999999</v>
      </c>
      <c r="F79" s="569" t="n">
        <v>485.87</v>
      </c>
      <c r="G79" s="569" t="n">
        <v>2563.75</v>
      </c>
      <c r="H79" s="569" t="n">
        <v>365.19</v>
      </c>
    </row>
    <row r="80">
      <c r="A80" s="263" t="inlineStr">
        <is>
          <t>Free Cash Flow Net of Dividends</t>
        </is>
      </c>
      <c r="B80" s="569" t="n">
        <v>271.25</v>
      </c>
      <c r="C80" s="569" t="n">
        <v>389.75</v>
      </c>
      <c r="D80" s="569" t="n">
        <v>364.63</v>
      </c>
      <c r="E80" s="569" t="n">
        <v>384.9</v>
      </c>
      <c r="F80" s="569" t="n">
        <v>411.41</v>
      </c>
      <c r="G80" s="569" t="n">
        <v>371.93</v>
      </c>
      <c r="H80" s="569" t="n">
        <v>585.04</v>
      </c>
    </row>
    <row r="81">
      <c r="A81" s="263" t="inlineStr">
        <is>
          <t>Free Cash Flow</t>
        </is>
      </c>
      <c r="B81" s="569" t="n">
        <v>286.62</v>
      </c>
      <c r="C81" s="569" t="n">
        <v>408.44</v>
      </c>
      <c r="D81" s="569" t="n">
        <v>386.19</v>
      </c>
      <c r="E81" s="569" t="n">
        <v>407.9</v>
      </c>
      <c r="F81" s="569" t="n">
        <v>435.87</v>
      </c>
      <c r="G81" s="569" t="n">
        <v>399.3</v>
      </c>
      <c r="H81" s="569" t="n">
        <v>614.11</v>
      </c>
    </row>
    <row r="82">
      <c r="A82" s="263" t="inlineStr">
        <is>
          <t>Dividends Provided/Paid - Common</t>
        </is>
      </c>
      <c r="B82" s="265" t="n">
        <v>15.36</v>
      </c>
      <c r="C82" s="265" t="n">
        <v>18.69</v>
      </c>
      <c r="D82" s="265" t="n">
        <v>21.55</v>
      </c>
      <c r="E82" s="265" t="n">
        <v>23</v>
      </c>
      <c r="F82" s="265" t="n">
        <v>73.39</v>
      </c>
      <c r="G82" s="265" t="n">
        <v>27.37</v>
      </c>
      <c r="H82" s="265" t="n">
        <v>29.07</v>
      </c>
    </row>
  </sheetData>
  <mergeCells count="35">
    <mergeCell ref="H13"/>
    <mergeCell ref="D12"/>
    <mergeCell ref="H12"/>
    <mergeCell ref="B15"/>
    <mergeCell ref="D15"/>
    <mergeCell ref="H15"/>
    <mergeCell ref="D14"/>
    <mergeCell ref="C13"/>
    <mergeCell ref="F14"/>
    <mergeCell ref="H14"/>
    <mergeCell ref="E12"/>
    <mergeCell ref="G12"/>
    <mergeCell ref="C15"/>
    <mergeCell ref="F11"/>
    <mergeCell ref="G11"/>
    <mergeCell ref="C14"/>
    <mergeCell ref="E14"/>
    <mergeCell ref="B12"/>
    <mergeCell ref="F12"/>
    <mergeCell ref="B11"/>
    <mergeCell ref="F15"/>
    <mergeCell ref="D11"/>
    <mergeCell ref="D13"/>
    <mergeCell ref="B14"/>
    <mergeCell ref="E13"/>
    <mergeCell ref="G13"/>
    <mergeCell ref="B13"/>
    <mergeCell ref="C12"/>
    <mergeCell ref="E15"/>
    <mergeCell ref="H11"/>
    <mergeCell ref="C11"/>
    <mergeCell ref="G15"/>
    <mergeCell ref="E11"/>
    <mergeCell ref="G14"/>
    <mergeCell ref="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10" defaultColWidth="11.5" defaultRowHeight="14"/>
  <cols>
    <col width="28.5" bestFit="1" customWidth="1" style="70" min="1" max="1"/>
    <col width="18" bestFit="1" customWidth="1" style="70" min="2" max="3"/>
    <col width="12.1640625" bestFit="1" customWidth="1" style="70" min="4" max="11"/>
    <col width="11.5" customWidth="1" style="70" min="12" max="16384"/>
  </cols>
  <sheetData>
    <row r="1" ht="15" customHeight="1" thickBot="1">
      <c r="A1" s="251" t="inlineStr">
        <is>
          <t>Company Fundamentals - Balance Sheet</t>
        </is>
      </c>
      <c r="B1" s="252" t="n"/>
      <c r="C1" s="252" t="n"/>
      <c r="D1" s="252" t="n"/>
      <c r="E1" s="252" t="n"/>
      <c r="F1" s="252" t="n"/>
      <c r="G1" s="252" t="n"/>
      <c r="H1" s="252" t="n"/>
      <c r="I1" s="252" t="n"/>
      <c r="J1" s="252" t="n"/>
      <c r="K1" s="252" t="n"/>
    </row>
    <row r="2" ht="15" customHeight="1" thickTop="1">
      <c r="A2" s="253" t="inlineStr">
        <is>
          <t>Company Name</t>
        </is>
      </c>
      <c r="B2" s="254" t="inlineStr">
        <is>
          <t>HEICO Corp (HEI)</t>
        </is>
      </c>
      <c r="C2" s="255" t="n"/>
      <c r="D2" s="255" t="n"/>
      <c r="E2" s="255" t="n"/>
      <c r="F2" s="255" t="n"/>
      <c r="G2" s="255" t="n"/>
      <c r="H2" s="255" t="n"/>
      <c r="I2" s="255" t="n"/>
      <c r="J2" s="255" t="n"/>
      <c r="K2" s="255" t="n"/>
    </row>
    <row r="3">
      <c r="A3" s="253" t="inlineStr">
        <is>
          <t>Country of Exchange</t>
        </is>
      </c>
      <c r="B3" s="253" t="inlineStr">
        <is>
          <t>United States of America</t>
        </is>
      </c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</row>
    <row r="4">
      <c r="A4" s="253" t="inlineStr">
        <is>
          <t>Country of Headquarters</t>
        </is>
      </c>
      <c r="B4" s="253" t="inlineStr">
        <is>
          <t>United States of America</t>
        </is>
      </c>
      <c r="C4" s="255" t="n"/>
      <c r="D4" s="255" t="n"/>
      <c r="E4" s="255" t="n"/>
      <c r="F4" s="255" t="n"/>
      <c r="G4" s="255" t="n"/>
      <c r="H4" s="255" t="n"/>
      <c r="I4" s="255" t="n"/>
      <c r="J4" s="255" t="n"/>
      <c r="K4" s="255" t="n"/>
    </row>
    <row r="5">
      <c r="A5" s="253" t="inlineStr">
        <is>
          <t>TRBC Industry Group</t>
        </is>
      </c>
      <c r="B5" s="253" t="inlineStr">
        <is>
          <t>Aerospace &amp; Defense</t>
        </is>
      </c>
      <c r="C5" s="255" t="n"/>
      <c r="D5" s="255" t="n"/>
      <c r="E5" s="255" t="n"/>
      <c r="F5" s="255" t="n"/>
      <c r="G5" s="255" t="n"/>
      <c r="H5" s="255" t="n"/>
      <c r="I5" s="255" t="n"/>
      <c r="J5" s="255" t="n"/>
      <c r="K5" s="255" t="n"/>
    </row>
    <row r="6">
      <c r="A6" s="253" t="inlineStr">
        <is>
          <t>CF Template</t>
        </is>
      </c>
      <c r="B6" s="253" t="inlineStr">
        <is>
          <t>IND</t>
        </is>
      </c>
      <c r="C6" s="255" t="n"/>
      <c r="D6" s="255" t="n"/>
      <c r="E6" s="255" t="n"/>
      <c r="F6" s="255" t="n"/>
      <c r="G6" s="255" t="n"/>
      <c r="H6" s="255" t="n"/>
      <c r="I6" s="255" t="n"/>
      <c r="J6" s="255" t="n"/>
      <c r="K6" s="255" t="n"/>
    </row>
    <row r="7">
      <c r="A7" s="253" t="inlineStr">
        <is>
          <t>Consolidation Basis</t>
        </is>
      </c>
      <c r="B7" s="253" t="inlineStr">
        <is>
          <t>Consolidated</t>
        </is>
      </c>
      <c r="C7" s="255" t="n"/>
      <c r="D7" s="255" t="n"/>
      <c r="E7" s="255" t="n"/>
      <c r="F7" s="255" t="n"/>
      <c r="G7" s="255" t="n"/>
      <c r="H7" s="255" t="n"/>
      <c r="I7" s="255" t="n"/>
      <c r="J7" s="255" t="n"/>
      <c r="K7" s="255" t="n"/>
    </row>
    <row r="8">
      <c r="A8" s="253" t="inlineStr">
        <is>
          <t>Scaling</t>
        </is>
      </c>
      <c r="B8" s="253" t="inlineStr">
        <is>
          <t>Millions</t>
        </is>
      </c>
      <c r="C8" s="255" t="n"/>
      <c r="D8" s="255" t="n"/>
      <c r="E8" s="255" t="n"/>
      <c r="F8" s="255" t="n"/>
      <c r="G8" s="255" t="n"/>
      <c r="H8" s="255" t="n"/>
      <c r="I8" s="255" t="n"/>
      <c r="J8" s="255" t="n"/>
      <c r="K8" s="255" t="n"/>
    </row>
    <row r="9">
      <c r="A9" s="253" t="inlineStr">
        <is>
          <t>Period</t>
        </is>
      </c>
      <c r="B9" s="253" t="inlineStr">
        <is>
          <t>Annual</t>
        </is>
      </c>
      <c r="C9" s="255" t="n"/>
      <c r="D9" s="255" t="n"/>
      <c r="E9" s="255" t="n"/>
      <c r="F9" s="255" t="n"/>
      <c r="G9" s="255" t="n"/>
      <c r="H9" s="255" t="n"/>
      <c r="I9" s="255" t="n"/>
      <c r="J9" s="255" t="n"/>
      <c r="K9" s="255" t="n"/>
    </row>
    <row r="10">
      <c r="A10" s="253" t="inlineStr">
        <is>
          <t>Export Date</t>
        </is>
      </c>
      <c r="B10" s="567" t="n">
        <v>45772.95849037037</v>
      </c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5" t="n"/>
    </row>
    <row r="11">
      <c r="A11" s="257" t="inlineStr">
        <is>
          <t>Statement Data</t>
        </is>
      </c>
      <c r="B11" s="424" t="inlineStr">
        <is>
          <t>2015</t>
        </is>
      </c>
      <c r="C11" s="424" t="inlineStr">
        <is>
          <t>2016</t>
        </is>
      </c>
      <c r="D11" s="424" t="inlineStr">
        <is>
          <t>2017</t>
        </is>
      </c>
      <c r="E11" s="424" t="inlineStr">
        <is>
          <t>2018</t>
        </is>
      </c>
      <c r="F11" s="424" t="inlineStr">
        <is>
          <t>2019</t>
        </is>
      </c>
      <c r="G11" s="424" t="inlineStr">
        <is>
          <t>2020</t>
        </is>
      </c>
      <c r="H11" s="424" t="inlineStr">
        <is>
          <t>2021</t>
        </is>
      </c>
      <c r="I11" s="424" t="inlineStr">
        <is>
          <t>2022</t>
        </is>
      </c>
      <c r="J11" s="424" t="inlineStr">
        <is>
          <t>2023</t>
        </is>
      </c>
      <c r="K11" s="424" t="inlineStr">
        <is>
          <t>2024</t>
        </is>
      </c>
    </row>
    <row r="12">
      <c r="A12" s="258" t="inlineStr">
        <is>
          <t>Period End Date</t>
        </is>
      </c>
      <c r="B12" s="568" t="n">
        <v>42308</v>
      </c>
      <c r="C12" s="568" t="n">
        <v>42674</v>
      </c>
      <c r="D12" s="568" t="n">
        <v>43039</v>
      </c>
      <c r="E12" s="568" t="n">
        <v>43404</v>
      </c>
      <c r="F12" s="568" t="n">
        <v>43769</v>
      </c>
      <c r="G12" s="568" t="n">
        <v>44135</v>
      </c>
      <c r="H12" s="568" t="n">
        <v>44500</v>
      </c>
      <c r="I12" s="568" t="n">
        <v>44865</v>
      </c>
      <c r="J12" s="568" t="n">
        <v>45230</v>
      </c>
      <c r="K12" s="568" t="n">
        <v>45596</v>
      </c>
    </row>
    <row r="13">
      <c r="A13" s="258" t="inlineStr">
        <is>
          <t>Statement Date</t>
        </is>
      </c>
      <c r="B13" s="568" t="n">
        <v>42307</v>
      </c>
      <c r="C13" s="568" t="n">
        <v>43038</v>
      </c>
      <c r="D13" s="568" t="n">
        <v>43038</v>
      </c>
      <c r="E13" s="568" t="n">
        <v>43584</v>
      </c>
      <c r="F13" s="568" t="n">
        <v>43768</v>
      </c>
      <c r="G13" s="568" t="n">
        <v>44134</v>
      </c>
      <c r="H13" s="568" t="n">
        <v>44499</v>
      </c>
      <c r="I13" s="568" t="n">
        <v>44864</v>
      </c>
      <c r="J13" s="568" t="n">
        <v>45229</v>
      </c>
      <c r="K13" s="568" t="n">
        <v>45595</v>
      </c>
    </row>
    <row r="14">
      <c r="A14" s="258" t="inlineStr">
        <is>
          <t>Standardized Currency</t>
        </is>
      </c>
      <c r="B14" s="422" t="inlineStr">
        <is>
          <t>USD</t>
        </is>
      </c>
      <c r="C14" s="422" t="inlineStr">
        <is>
          <t>USD</t>
        </is>
      </c>
      <c r="D14" s="422" t="inlineStr">
        <is>
          <t>USD</t>
        </is>
      </c>
      <c r="E14" s="422" t="inlineStr">
        <is>
          <t>USD</t>
        </is>
      </c>
      <c r="F14" s="422" t="inlineStr">
        <is>
          <t>USD</t>
        </is>
      </c>
      <c r="G14" s="422" t="inlineStr">
        <is>
          <t>USD</t>
        </is>
      </c>
      <c r="H14" s="422" t="inlineStr">
        <is>
          <t>USD</t>
        </is>
      </c>
      <c r="I14" s="422" t="inlineStr">
        <is>
          <t>USD</t>
        </is>
      </c>
      <c r="J14" s="422" t="inlineStr">
        <is>
          <t>USD</t>
        </is>
      </c>
      <c r="K14" s="422" t="inlineStr">
        <is>
          <t>USD</t>
        </is>
      </c>
    </row>
    <row r="15">
      <c r="A15" s="258" t="inlineStr">
        <is>
          <t>Template Type</t>
        </is>
      </c>
      <c r="B15" s="422" t="inlineStr">
        <is>
          <t>Industrial - Differentiated</t>
        </is>
      </c>
      <c r="C15" s="422" t="inlineStr">
        <is>
          <t>Industrial - Differentiated</t>
        </is>
      </c>
      <c r="D15" s="422" t="inlineStr">
        <is>
          <t>Industrial - Differentiated</t>
        </is>
      </c>
      <c r="E15" s="422" t="inlineStr">
        <is>
          <t>Industrial - Differentiated</t>
        </is>
      </c>
      <c r="F15" s="422" t="inlineStr">
        <is>
          <t>Industrial - Differentiated</t>
        </is>
      </c>
      <c r="G15" s="422" t="inlineStr">
        <is>
          <t>Industrial - Differentiated</t>
        </is>
      </c>
      <c r="H15" s="422" t="inlineStr">
        <is>
          <t>Industrial - Differentiated</t>
        </is>
      </c>
      <c r="I15" s="422" t="inlineStr">
        <is>
          <t>Industrial - Differentiated</t>
        </is>
      </c>
      <c r="J15" s="422" t="inlineStr">
        <is>
          <t>Industrial - Differentiated</t>
        </is>
      </c>
      <c r="K15" s="422" t="inlineStr">
        <is>
          <t>Industrial - Differentiated</t>
        </is>
      </c>
    </row>
    <row r="17" ht="28" customHeight="1">
      <c r="A17" s="259" t="inlineStr">
        <is>
          <t>Balance Sheet - Standardized (Currency: Standardized)</t>
        </is>
      </c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</row>
    <row r="18">
      <c r="A18" s="259" t="inlineStr">
        <is>
          <t>Field Name</t>
        </is>
      </c>
      <c r="B18" s="260" t="inlineStr">
        <is>
          <t>30-10-2015</t>
        </is>
      </c>
      <c r="C18" s="260" t="inlineStr">
        <is>
          <t>30-10-2016</t>
        </is>
      </c>
      <c r="D18" s="260" t="inlineStr">
        <is>
          <t>30-10-2017</t>
        </is>
      </c>
      <c r="E18" s="260" t="inlineStr">
        <is>
          <t>30-10-2018</t>
        </is>
      </c>
      <c r="F18" s="260" t="inlineStr">
        <is>
          <t>30-10-2019</t>
        </is>
      </c>
      <c r="G18" s="260" t="inlineStr">
        <is>
          <t>30-10-2020</t>
        </is>
      </c>
      <c r="H18" s="260" t="inlineStr">
        <is>
          <t>30-10-2021</t>
        </is>
      </c>
      <c r="I18" s="260" t="inlineStr">
        <is>
          <t>30-10-2022</t>
        </is>
      </c>
      <c r="J18" s="260" t="inlineStr">
        <is>
          <t>30-10-2023</t>
        </is>
      </c>
      <c r="K18" s="260" t="inlineStr">
        <is>
          <t>30-10-2024</t>
        </is>
      </c>
    </row>
    <row r="19">
      <c r="A19" s="261" t="inlineStr">
        <is>
          <t>Current Assets</t>
        </is>
      </c>
      <c r="B19" s="262" t="n"/>
      <c r="C19" s="262" t="n"/>
      <c r="D19" s="262" t="n"/>
      <c r="E19" s="262" t="n"/>
      <c r="F19" s="262" t="n"/>
      <c r="G19" s="262" t="n"/>
      <c r="H19" s="262" t="n"/>
      <c r="I19" s="262" t="n"/>
      <c r="J19" s="262" t="n"/>
      <c r="K19" s="262" t="n"/>
    </row>
    <row r="20" ht="28" customHeight="1">
      <c r="A20" s="263" t="inlineStr">
        <is>
          <t>Cash &amp; Short-Term Investments</t>
        </is>
      </c>
      <c r="B20" s="265" t="n">
        <v>33.6</v>
      </c>
      <c r="C20" s="265" t="n">
        <v>42.96</v>
      </c>
      <c r="D20" s="265" t="n">
        <v>52.07</v>
      </c>
      <c r="E20" s="265" t="n">
        <v>59.6</v>
      </c>
      <c r="F20" s="265" t="n">
        <v>57</v>
      </c>
      <c r="G20" s="569" t="n">
        <v>406.85</v>
      </c>
      <c r="H20" s="569" t="n">
        <v>108.3</v>
      </c>
      <c r="I20" s="569" t="n">
        <v>139.5</v>
      </c>
      <c r="J20" s="569" t="n">
        <v>171.05</v>
      </c>
      <c r="K20" s="569" t="n">
        <v>162.1</v>
      </c>
    </row>
    <row r="21">
      <c r="A21" s="266" t="inlineStr">
        <is>
          <t>Cash &amp; Cash Equivalents</t>
        </is>
      </c>
      <c r="B21" s="265" t="n">
        <v>33.6</v>
      </c>
      <c r="C21" s="265" t="n">
        <v>42.96</v>
      </c>
      <c r="D21" s="265" t="n">
        <v>52.07</v>
      </c>
      <c r="E21" s="265" t="n">
        <v>59.6</v>
      </c>
      <c r="F21" s="265" t="n">
        <v>57</v>
      </c>
      <c r="G21" s="569" t="n">
        <v>406.85</v>
      </c>
      <c r="H21" s="569" t="n">
        <v>108.3</v>
      </c>
      <c r="I21" s="569" t="n">
        <v>139.5</v>
      </c>
      <c r="J21" s="569" t="n">
        <v>171.05</v>
      </c>
      <c r="K21" s="569" t="n">
        <v>162.1</v>
      </c>
    </row>
    <row r="22" ht="28" customHeight="1">
      <c r="A22" s="263" t="inlineStr">
        <is>
          <t>Loans &amp; Receivables - Net - Short-Term</t>
        </is>
      </c>
      <c r="B22" s="569" t="n">
        <v>181.59</v>
      </c>
      <c r="C22" s="569" t="n">
        <v>202.23</v>
      </c>
      <c r="D22" s="569" t="n">
        <v>222.46</v>
      </c>
      <c r="E22" s="569" t="n">
        <v>251.47</v>
      </c>
      <c r="F22" s="569" t="n">
        <v>317.46</v>
      </c>
      <c r="G22" s="569" t="n">
        <v>270.86</v>
      </c>
      <c r="H22" s="569" t="n">
        <v>324.99</v>
      </c>
      <c r="I22" s="569" t="n">
        <v>388.83</v>
      </c>
      <c r="J22" s="569" t="n">
        <v>620.78</v>
      </c>
      <c r="K22" s="569" t="n">
        <v>650.72</v>
      </c>
    </row>
    <row r="23" ht="28" customHeight="1">
      <c r="A23" s="266" t="inlineStr">
        <is>
          <t>Trade Accounts &amp; Trade Notes Receivable - Net</t>
        </is>
      </c>
      <c r="B23" s="569" t="n">
        <v>181.59</v>
      </c>
      <c r="C23" s="569" t="n">
        <v>202.23</v>
      </c>
      <c r="D23" s="569" t="n">
        <v>222.46</v>
      </c>
      <c r="E23" s="569" t="n">
        <v>237.29</v>
      </c>
      <c r="F23" s="569" t="n">
        <v>274.33</v>
      </c>
      <c r="G23" s="569" t="n">
        <v>210.43</v>
      </c>
      <c r="H23" s="569" t="n">
        <v>244.92</v>
      </c>
      <c r="I23" s="569" t="n">
        <v>294.85</v>
      </c>
      <c r="J23" s="569" t="n">
        <v>509.08</v>
      </c>
      <c r="K23" s="569" t="n">
        <v>538.49</v>
      </c>
    </row>
    <row r="24" ht="28" customHeight="1">
      <c r="A24" s="268" t="inlineStr">
        <is>
          <t>Trade Accounts &amp; Trade Notes Receivable - Gross</t>
        </is>
      </c>
      <c r="B24" s="569" t="n">
        <v>183.63</v>
      </c>
      <c r="C24" s="569" t="n">
        <v>205.39</v>
      </c>
      <c r="D24" s="569" t="n">
        <v>225.46</v>
      </c>
      <c r="E24" s="569" t="n">
        <v>240.54</v>
      </c>
      <c r="F24" s="569" t="n">
        <v>277.99</v>
      </c>
      <c r="G24" s="569" t="n">
        <v>223.17</v>
      </c>
      <c r="H24" s="569" t="n">
        <v>255.79</v>
      </c>
      <c r="I24" s="569" t="n">
        <v>303.18</v>
      </c>
      <c r="J24" s="569" t="n">
        <v>521.7</v>
      </c>
      <c r="K24" s="569" t="n">
        <v>550.28</v>
      </c>
    </row>
    <row r="25" ht="28" customHeight="1">
      <c r="A25" s="268" t="inlineStr">
        <is>
          <t>Provision - Trade Accounts &amp; Trade Notes Receivable</t>
        </is>
      </c>
      <c r="B25" s="265" t="n">
        <v>2.04</v>
      </c>
      <c r="C25" s="265" t="n">
        <v>3.16</v>
      </c>
      <c r="D25" s="265" t="n">
        <v>3.01</v>
      </c>
      <c r="E25" s="265" t="n">
        <v>3.26</v>
      </c>
      <c r="F25" s="265" t="n">
        <v>3.67</v>
      </c>
      <c r="G25" s="265" t="n">
        <v>12.74</v>
      </c>
      <c r="H25" s="265" t="n">
        <v>10.87</v>
      </c>
      <c r="I25" s="265" t="n">
        <v>8.33</v>
      </c>
      <c r="J25" s="265" t="n">
        <v>12.62</v>
      </c>
      <c r="K25" s="265" t="n">
        <v>11.79</v>
      </c>
    </row>
    <row r="26">
      <c r="A26" s="266" t="inlineStr">
        <is>
          <t>Receivables - Other - Total</t>
        </is>
      </c>
      <c r="B26" s="269" t="n"/>
      <c r="C26" s="269" t="n"/>
      <c r="D26" s="269" t="n"/>
      <c r="E26" s="265" t="n">
        <v>14.18</v>
      </c>
      <c r="F26" s="265" t="n">
        <v>43.13</v>
      </c>
      <c r="G26" s="265" t="n">
        <v>60.43</v>
      </c>
      <c r="H26" s="265" t="n">
        <v>80.06999999999999</v>
      </c>
      <c r="I26" s="265" t="n">
        <v>93.98</v>
      </c>
      <c r="J26" s="569" t="n">
        <v>111.7</v>
      </c>
      <c r="K26" s="569" t="n">
        <v>112.24</v>
      </c>
    </row>
    <row r="27">
      <c r="A27" s="263" t="inlineStr">
        <is>
          <t>Inventories - Total</t>
        </is>
      </c>
      <c r="B27" s="569" t="n">
        <v>243.52</v>
      </c>
      <c r="C27" s="569" t="n">
        <v>286.3</v>
      </c>
      <c r="D27" s="569" t="n">
        <v>343.63</v>
      </c>
      <c r="E27" s="569" t="n">
        <v>401.55</v>
      </c>
      <c r="F27" s="569" t="n">
        <v>420.32</v>
      </c>
      <c r="G27" s="569" t="n">
        <v>463.21</v>
      </c>
      <c r="H27" s="569" t="n">
        <v>478.05</v>
      </c>
      <c r="I27" s="569" t="n">
        <v>582.47</v>
      </c>
      <c r="J27" s="569" t="n">
        <v>1013.68</v>
      </c>
      <c r="K27" s="569" t="n">
        <v>1170.95</v>
      </c>
    </row>
    <row r="28">
      <c r="A28" s="266" t="inlineStr">
        <is>
          <t>Inventories - Raw Materials</t>
        </is>
      </c>
      <c r="B28" s="265" t="n">
        <v>89.73999999999999</v>
      </c>
      <c r="C28" s="569" t="n">
        <v>117.15</v>
      </c>
      <c r="D28" s="569" t="n">
        <v>128.03</v>
      </c>
      <c r="E28" s="569" t="n">
        <v>158.04</v>
      </c>
      <c r="F28" s="569" t="n">
        <v>187.89</v>
      </c>
      <c r="G28" s="569" t="n">
        <v>189.75</v>
      </c>
      <c r="H28" s="569" t="n">
        <v>194.3</v>
      </c>
      <c r="I28" s="569" t="n">
        <v>237.71</v>
      </c>
      <c r="J28" s="569" t="n">
        <v>311.5</v>
      </c>
      <c r="K28" s="569" t="n">
        <v>387.26</v>
      </c>
    </row>
    <row r="29" ht="28" customHeight="1">
      <c r="A29" s="266" t="inlineStr">
        <is>
          <t>Inventories - Work in Progress</t>
        </is>
      </c>
      <c r="B29" s="265" t="n">
        <v>36.72</v>
      </c>
      <c r="C29" s="265" t="n">
        <v>39.33</v>
      </c>
      <c r="D29" s="265" t="n">
        <v>42.4</v>
      </c>
      <c r="E29" s="265" t="n">
        <v>50.96</v>
      </c>
      <c r="F29" s="265" t="n">
        <v>32.55</v>
      </c>
      <c r="G29" s="265" t="n">
        <v>37.96</v>
      </c>
      <c r="H29" s="265" t="n">
        <v>44.89</v>
      </c>
      <c r="I29" s="265" t="n">
        <v>59.74</v>
      </c>
      <c r="J29" s="265" t="n">
        <v>79.79000000000001</v>
      </c>
      <c r="K29" s="265" t="n">
        <v>99.11</v>
      </c>
    </row>
    <row r="30">
      <c r="A30" s="266" t="inlineStr">
        <is>
          <t>Inventories - Finished Goods</t>
        </is>
      </c>
      <c r="B30" s="569" t="n">
        <v>119.26</v>
      </c>
      <c r="C30" s="569" t="n">
        <v>131.01</v>
      </c>
      <c r="D30" s="569" t="n">
        <v>173.56</v>
      </c>
      <c r="E30" s="569" t="n">
        <v>192.76</v>
      </c>
      <c r="F30" s="569" t="n">
        <v>199.88</v>
      </c>
      <c r="G30" s="569" t="n">
        <v>235.5</v>
      </c>
      <c r="H30" s="569" t="n">
        <v>238.87</v>
      </c>
      <c r="I30" s="569" t="n">
        <v>285.02</v>
      </c>
      <c r="J30" s="569" t="n">
        <v>622.4</v>
      </c>
      <c r="K30" s="569" t="n">
        <v>684.58</v>
      </c>
    </row>
    <row r="31">
      <c r="A31" s="266" t="inlineStr">
        <is>
          <t>Inventories - Other - Total</t>
        </is>
      </c>
      <c r="B31" s="267" t="n">
        <v>-2.21</v>
      </c>
      <c r="C31" s="267" t="n">
        <v>-1.19</v>
      </c>
      <c r="D31" s="267" t="n">
        <v>-0.36</v>
      </c>
      <c r="E31" s="267" t="n">
        <v>-0.21</v>
      </c>
      <c r="F31" s="269" t="n">
        <v>0</v>
      </c>
      <c r="G31" s="269" t="n"/>
      <c r="H31" s="269" t="n"/>
      <c r="I31" s="269" t="n"/>
      <c r="J31" s="269" t="n"/>
      <c r="K31" s="269" t="n"/>
    </row>
    <row r="32">
      <c r="A32" s="263" t="inlineStr">
        <is>
          <t>Prepaid Expenses - Short-Term</t>
        </is>
      </c>
      <c r="B32" s="265" t="n">
        <v>9.369999999999999</v>
      </c>
      <c r="C32" s="265" t="n">
        <v>11.67</v>
      </c>
      <c r="D32" s="265" t="n">
        <v>13.74</v>
      </c>
      <c r="E32" s="265" t="n">
        <v>21.19</v>
      </c>
      <c r="F32" s="265" t="n">
        <v>18.95</v>
      </c>
      <c r="G32" s="265" t="n">
        <v>24.71</v>
      </c>
      <c r="H32" s="265" t="n">
        <v>26.05</v>
      </c>
      <c r="I32" s="265" t="n">
        <v>41.93</v>
      </c>
      <c r="J32" s="265" t="n">
        <v>49.84</v>
      </c>
      <c r="K32" s="265" t="n">
        <v>78.52</v>
      </c>
    </row>
    <row r="33">
      <c r="A33" s="263" t="inlineStr">
        <is>
          <t>Other Current Assets - Total</t>
        </is>
      </c>
      <c r="B33" s="265" t="n">
        <v>35.53</v>
      </c>
      <c r="C33" s="269" t="n"/>
      <c r="D33" s="269" t="n"/>
      <c r="E33" s="269" t="n"/>
      <c r="F33" s="269" t="n"/>
      <c r="G33" s="269" t="n"/>
      <c r="H33" s="269" t="n"/>
      <c r="I33" s="269" t="n"/>
      <c r="J33" s="269" t="n"/>
      <c r="K33" s="269" t="n"/>
    </row>
    <row r="34" ht="28" customHeight="1">
      <c r="A34" s="266" t="inlineStr">
        <is>
          <t>Deferred Tax - Asset - Short-Term</t>
        </is>
      </c>
      <c r="B34" s="265" t="n">
        <v>35.53</v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</row>
    <row r="35">
      <c r="A35" s="271" t="inlineStr">
        <is>
          <t>Total Current Assets</t>
        </is>
      </c>
      <c r="B35" s="571" t="n">
        <v>503.61</v>
      </c>
      <c r="C35" s="571" t="n">
        <v>543.16</v>
      </c>
      <c r="D35" s="571" t="n">
        <v>631.89</v>
      </c>
      <c r="E35" s="571" t="n">
        <v>733.8099999999999</v>
      </c>
      <c r="F35" s="571" t="n">
        <v>813.73</v>
      </c>
      <c r="G35" s="571" t="n">
        <v>1165.63</v>
      </c>
      <c r="H35" s="571" t="n">
        <v>937.39</v>
      </c>
      <c r="I35" s="571" t="n">
        <v>1152.73</v>
      </c>
      <c r="J35" s="571" t="n">
        <v>1855.34</v>
      </c>
      <c r="K35" s="571" t="n">
        <v>2062.29</v>
      </c>
    </row>
    <row r="36">
      <c r="A36" s="261" t="inlineStr">
        <is>
          <t>Non-Current Assets</t>
        </is>
      </c>
      <c r="B36" s="262" t="n"/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</row>
    <row r="37" ht="28" customHeight="1">
      <c r="A37" s="263" t="inlineStr">
        <is>
          <t>Property, Plant &amp; Equipment - Net - Total</t>
        </is>
      </c>
      <c r="B37" s="569" t="n">
        <v>105.67</v>
      </c>
      <c r="C37" s="569" t="n">
        <v>121.61</v>
      </c>
      <c r="D37" s="569" t="n">
        <v>129.88</v>
      </c>
      <c r="E37" s="569" t="n">
        <v>154.74</v>
      </c>
      <c r="F37" s="569" t="n">
        <v>173.35</v>
      </c>
      <c r="G37" s="569" t="n">
        <v>225.95</v>
      </c>
      <c r="H37" s="569" t="n">
        <v>268.25</v>
      </c>
      <c r="I37" s="569" t="n">
        <v>315.63</v>
      </c>
      <c r="J37" s="569" t="n">
        <v>443.22</v>
      </c>
      <c r="K37" s="569" t="n">
        <v>470.87</v>
      </c>
    </row>
    <row r="38" ht="42" customHeight="1">
      <c r="A38" s="266" t="inlineStr">
        <is>
          <t>Property, Plant &amp; Equipment - excluding Assets Leased Out - Net - Total</t>
        </is>
      </c>
      <c r="B38" s="569" t="n">
        <v>105.67</v>
      </c>
      <c r="C38" s="569" t="n">
        <v>121.61</v>
      </c>
      <c r="D38" s="569" t="n">
        <v>129.88</v>
      </c>
      <c r="E38" s="569" t="n">
        <v>154.74</v>
      </c>
      <c r="F38" s="569" t="n">
        <v>173.35</v>
      </c>
      <c r="G38" s="569" t="n">
        <v>225.95</v>
      </c>
      <c r="H38" s="569" t="n">
        <v>268.25</v>
      </c>
      <c r="I38" s="569" t="n">
        <v>315.63</v>
      </c>
      <c r="J38" s="569" t="n">
        <v>443.22</v>
      </c>
      <c r="K38" s="569" t="n">
        <v>470.87</v>
      </c>
    </row>
    <row r="39" ht="28" customHeight="1">
      <c r="A39" s="266" t="inlineStr">
        <is>
          <t>Property, Plant &amp; Equipment - Gross - Total</t>
        </is>
      </c>
      <c r="B39" s="569" t="n">
        <v>232.38</v>
      </c>
      <c r="C39" s="569" t="n">
        <v>266.46</v>
      </c>
      <c r="D39" s="569" t="n">
        <v>294.2</v>
      </c>
      <c r="E39" s="569" t="n">
        <v>342.44</v>
      </c>
      <c r="F39" s="569" t="n">
        <v>385.33</v>
      </c>
      <c r="G39" s="569" t="n">
        <v>458.45</v>
      </c>
      <c r="H39" s="569" t="n">
        <v>525.2</v>
      </c>
      <c r="I39" s="569" t="n">
        <v>592.71</v>
      </c>
      <c r="J39" s="569" t="n">
        <v>756.05</v>
      </c>
      <c r="K39" s="569" t="n">
        <v>827.3</v>
      </c>
    </row>
    <row r="40" ht="42" customHeight="1">
      <c r="A40" s="268" t="inlineStr">
        <is>
          <t>Property, Plant &amp; Equipment - excluding Assets Leased Out - Gross</t>
        </is>
      </c>
      <c r="B40" s="569" t="n">
        <v>232.38</v>
      </c>
      <c r="C40" s="569" t="n">
        <v>266.46</v>
      </c>
      <c r="D40" s="569" t="n">
        <v>294.2</v>
      </c>
      <c r="E40" s="569" t="n">
        <v>342.44</v>
      </c>
      <c r="F40" s="569" t="n">
        <v>385.33</v>
      </c>
      <c r="G40" s="569" t="n">
        <v>458.45</v>
      </c>
      <c r="H40" s="569" t="n">
        <v>525.2</v>
      </c>
      <c r="I40" s="569" t="n">
        <v>592.71</v>
      </c>
      <c r="J40" s="569" t="n">
        <v>756.05</v>
      </c>
      <c r="K40" s="569" t="n">
        <v>827.3</v>
      </c>
    </row>
    <row r="41">
      <c r="A41" s="277" t="inlineStr">
        <is>
          <t>Land &amp; Buildings - Gross</t>
        </is>
      </c>
      <c r="B41" s="265" t="n">
        <v>75.69</v>
      </c>
      <c r="C41" s="265" t="n">
        <v>84.3</v>
      </c>
      <c r="D41" s="265" t="n">
        <v>97.34999999999999</v>
      </c>
      <c r="E41" s="569" t="n">
        <v>107.29</v>
      </c>
      <c r="F41" s="569" t="n">
        <v>123.82</v>
      </c>
      <c r="G41" s="569" t="n">
        <v>127.45</v>
      </c>
      <c r="H41" s="569" t="n">
        <v>145.51</v>
      </c>
      <c r="I41" s="569" t="n">
        <v>166.18</v>
      </c>
      <c r="J41" s="569" t="n">
        <v>222.21</v>
      </c>
      <c r="K41" s="569" t="n">
        <v>237.53</v>
      </c>
    </row>
    <row r="42" ht="28" customHeight="1">
      <c r="A42" s="278" t="inlineStr">
        <is>
          <t>Land/Improvements - Gross</t>
        </is>
      </c>
      <c r="B42" s="265" t="n">
        <v>5.06</v>
      </c>
      <c r="C42" s="265" t="n">
        <v>5.09</v>
      </c>
      <c r="D42" s="265" t="n">
        <v>5.44</v>
      </c>
      <c r="E42" s="265" t="n">
        <v>5.86</v>
      </c>
      <c r="F42" s="265" t="n">
        <v>6.82</v>
      </c>
      <c r="G42" s="265" t="n">
        <v>6.68</v>
      </c>
      <c r="H42" s="265" t="n">
        <v>11.36</v>
      </c>
      <c r="I42" s="265" t="n">
        <v>17.58</v>
      </c>
      <c r="J42" s="265" t="n">
        <v>19.71</v>
      </c>
      <c r="K42" s="265" t="n">
        <v>19.97</v>
      </c>
    </row>
    <row r="43">
      <c r="A43" s="278" t="inlineStr">
        <is>
          <t>Buildings - Gross</t>
        </is>
      </c>
      <c r="B43" s="265" t="n">
        <v>70.63</v>
      </c>
      <c r="C43" s="265" t="n">
        <v>79.20999999999999</v>
      </c>
      <c r="D43" s="265" t="n">
        <v>91.92</v>
      </c>
      <c r="E43" s="569" t="n">
        <v>101.42</v>
      </c>
      <c r="F43" s="569" t="n">
        <v>117</v>
      </c>
      <c r="G43" s="569" t="n">
        <v>120.77</v>
      </c>
      <c r="H43" s="569" t="n">
        <v>134.15</v>
      </c>
      <c r="I43" s="569" t="n">
        <v>148.6</v>
      </c>
      <c r="J43" s="569" t="n">
        <v>202.5</v>
      </c>
      <c r="K43" s="569" t="n">
        <v>217.55</v>
      </c>
    </row>
    <row r="44" ht="28" customHeight="1">
      <c r="A44" s="277" t="inlineStr">
        <is>
          <t>Plant, Machinery &amp; Equipment - Gross</t>
        </is>
      </c>
      <c r="B44" s="569" t="n">
        <v>152.02</v>
      </c>
      <c r="C44" s="569" t="n">
        <v>171.72</v>
      </c>
      <c r="D44" s="569" t="n">
        <v>191.3</v>
      </c>
      <c r="E44" s="569" t="n">
        <v>230.11</v>
      </c>
      <c r="F44" s="569" t="n">
        <v>253.13</v>
      </c>
      <c r="G44" s="569" t="n">
        <v>265.41</v>
      </c>
      <c r="H44" s="569" t="n">
        <v>297.3</v>
      </c>
      <c r="I44" s="569" t="n">
        <v>322.25</v>
      </c>
      <c r="J44" s="569" t="n">
        <v>386.6</v>
      </c>
      <c r="K44" s="569" t="n">
        <v>422.5</v>
      </c>
    </row>
    <row r="45" ht="28" customHeight="1">
      <c r="A45" s="277" t="inlineStr">
        <is>
          <t>Construction in Progress - Gross</t>
        </is>
      </c>
      <c r="B45" s="265" t="n">
        <v>4.67</v>
      </c>
      <c r="C45" s="265" t="n">
        <v>10.45</v>
      </c>
      <c r="D45" s="265" t="n">
        <v>5.55</v>
      </c>
      <c r="E45" s="265" t="n">
        <v>5.04</v>
      </c>
      <c r="F45" s="265" t="n">
        <v>8.380000000000001</v>
      </c>
      <c r="G45" s="265" t="n">
        <v>8.49</v>
      </c>
      <c r="H45" s="265" t="n">
        <v>7.78</v>
      </c>
      <c r="I45" s="265" t="n">
        <v>14.53</v>
      </c>
      <c r="J45" s="265" t="n">
        <v>25.87</v>
      </c>
      <c r="K45" s="265" t="n">
        <v>35.43</v>
      </c>
    </row>
    <row r="46" ht="28" customHeight="1">
      <c r="A46" s="277" t="inlineStr">
        <is>
          <t>Right of Use Tangible Assets - Total - Gross</t>
        </is>
      </c>
      <c r="B46" s="269" t="n"/>
      <c r="C46" s="269" t="n"/>
      <c r="D46" s="269" t="n"/>
      <c r="E46" s="269" t="n"/>
      <c r="F46" s="269" t="n"/>
      <c r="G46" s="265" t="n">
        <v>57.1</v>
      </c>
      <c r="H46" s="265" t="n">
        <v>74.61</v>
      </c>
      <c r="I46" s="265" t="n">
        <v>89.75</v>
      </c>
      <c r="J46" s="569" t="n">
        <v>121.37</v>
      </c>
      <c r="K46" s="569" t="n">
        <v>131.84</v>
      </c>
    </row>
    <row r="47" ht="42" customHeight="1">
      <c r="A47" s="278" t="inlineStr">
        <is>
          <t>Right of Use Tangible Assets - Operating Lease - Gross</t>
        </is>
      </c>
      <c r="B47" s="269" t="n"/>
      <c r="C47" s="269" t="n"/>
      <c r="D47" s="269" t="n"/>
      <c r="E47" s="269" t="n"/>
      <c r="F47" s="269" t="n"/>
      <c r="G47" s="265" t="n">
        <v>57.1</v>
      </c>
      <c r="H47" s="265" t="n">
        <v>74.61</v>
      </c>
      <c r="I47" s="265" t="n">
        <v>89.75</v>
      </c>
      <c r="J47" s="569" t="n">
        <v>121.37</v>
      </c>
      <c r="K47" s="569" t="n">
        <v>131.84</v>
      </c>
    </row>
    <row r="48" ht="42" customHeight="1">
      <c r="A48" s="266" t="inlineStr">
        <is>
          <t>Property, Plant &amp; Equipment - Accumulated Depreciation &amp; Impairment - Total</t>
        </is>
      </c>
      <c r="B48" s="569" t="n">
        <v>126.71</v>
      </c>
      <c r="C48" s="569" t="n">
        <v>144.85</v>
      </c>
      <c r="D48" s="569" t="n">
        <v>164.32</v>
      </c>
      <c r="E48" s="569" t="n">
        <v>187.7</v>
      </c>
      <c r="F48" s="569" t="n">
        <v>211.98</v>
      </c>
      <c r="G48" s="569" t="n">
        <v>232.49</v>
      </c>
      <c r="H48" s="569" t="n">
        <v>256.96</v>
      </c>
      <c r="I48" s="569" t="n">
        <v>277.08</v>
      </c>
      <c r="J48" s="569" t="n">
        <v>312.83</v>
      </c>
      <c r="K48" s="569" t="n">
        <v>356.43</v>
      </c>
    </row>
    <row r="49" ht="70" customHeight="1">
      <c r="A49" s="268" t="inlineStr">
        <is>
          <t>Property, Plant &amp; Equipment - excluding Assets Leased Out - Accumulated Depreciation &amp; Impairment - Total</t>
        </is>
      </c>
      <c r="B49" s="569" t="n">
        <v>126.71</v>
      </c>
      <c r="C49" s="569" t="n">
        <v>144.85</v>
      </c>
      <c r="D49" s="569" t="n">
        <v>164.32</v>
      </c>
      <c r="E49" s="569" t="n">
        <v>187.7</v>
      </c>
      <c r="F49" s="569" t="n">
        <v>211.98</v>
      </c>
      <c r="G49" s="569" t="n">
        <v>232.49</v>
      </c>
      <c r="H49" s="569" t="n">
        <v>256.96</v>
      </c>
      <c r="I49" s="569" t="n">
        <v>277.08</v>
      </c>
      <c r="J49" s="569" t="n">
        <v>312.83</v>
      </c>
      <c r="K49" s="569" t="n">
        <v>356.43</v>
      </c>
    </row>
    <row r="50" ht="28" customHeight="1">
      <c r="A50" s="263" t="inlineStr">
        <is>
          <t>Other Non-Current Assets - Total</t>
        </is>
      </c>
      <c r="B50" s="265" t="n">
        <v>87.87</v>
      </c>
      <c r="C50" s="569" t="n">
        <v>101.06</v>
      </c>
      <c r="D50" s="569" t="n">
        <v>131.27</v>
      </c>
      <c r="E50" s="569" t="n">
        <v>143.66</v>
      </c>
      <c r="F50" s="569" t="n">
        <v>162.74</v>
      </c>
      <c r="G50" s="569" t="n">
        <v>193.93</v>
      </c>
      <c r="H50" s="569" t="n">
        <v>260.07</v>
      </c>
      <c r="I50" s="569" t="n">
        <v>221.38</v>
      </c>
      <c r="J50" s="569" t="n">
        <v>264.89</v>
      </c>
      <c r="K50" s="569" t="n">
        <v>344.59</v>
      </c>
    </row>
    <row r="51" ht="28" customHeight="1">
      <c r="A51" s="266" t="inlineStr">
        <is>
          <t>Deferred Tax - Asset - Long-Term</t>
        </is>
      </c>
      <c r="B51" s="265" t="n">
        <v>0.85</v>
      </c>
      <c r="C51" s="265" t="n">
        <v>0.41</v>
      </c>
      <c r="D51" s="269" t="n">
        <v>0</v>
      </c>
      <c r="E51" s="269" t="n"/>
      <c r="F51" s="269" t="n"/>
      <c r="G51" s="269" t="n"/>
      <c r="H51" s="269" t="n"/>
      <c r="I51" s="269" t="n"/>
      <c r="J51" s="269" t="n"/>
      <c r="K51" s="269" t="n"/>
    </row>
    <row r="52">
      <c r="A52" s="266" t="inlineStr">
        <is>
          <t>Other Non-Current Assets</t>
        </is>
      </c>
      <c r="B52" s="265" t="n">
        <v>87.03</v>
      </c>
      <c r="C52" s="569" t="n">
        <v>100.66</v>
      </c>
      <c r="D52" s="569" t="n">
        <v>131.27</v>
      </c>
      <c r="E52" s="269" t="n"/>
      <c r="F52" s="269" t="n"/>
      <c r="G52" s="569" t="n">
        <v>193.93</v>
      </c>
      <c r="H52" s="569" t="n">
        <v>260.07</v>
      </c>
      <c r="I52" s="569" t="n">
        <v>221.38</v>
      </c>
      <c r="J52" s="569" t="n">
        <v>264.89</v>
      </c>
      <c r="K52" s="569" t="n">
        <v>344.59</v>
      </c>
    </row>
    <row r="53">
      <c r="A53" s="263" t="inlineStr">
        <is>
          <t>Intangible Assets - Total - Net</t>
        </is>
      </c>
      <c r="B53" s="569" t="n">
        <v>1039.23</v>
      </c>
      <c r="C53" s="569" t="n">
        <v>1232.58</v>
      </c>
      <c r="D53" s="569" t="n">
        <v>1619.39</v>
      </c>
      <c r="E53" s="569" t="n">
        <v>1621.19</v>
      </c>
      <c r="F53" s="569" t="n">
        <v>1819.4</v>
      </c>
      <c r="G53" s="569" t="n">
        <v>1962.21</v>
      </c>
      <c r="H53" s="569" t="n">
        <v>2032.7</v>
      </c>
      <c r="I53" s="569" t="n">
        <v>2405.75</v>
      </c>
      <c r="J53" s="569" t="n">
        <v>4631.61</v>
      </c>
      <c r="K53" s="569" t="n">
        <v>4715.07</v>
      </c>
    </row>
    <row r="54" ht="28" customHeight="1">
      <c r="A54" s="266" t="inlineStr">
        <is>
          <t>Goodwill/Cost in Excess of Assets Purchased - Net</t>
        </is>
      </c>
      <c r="B54" s="569" t="n">
        <v>766.64</v>
      </c>
      <c r="C54" s="569" t="n">
        <v>865.72</v>
      </c>
      <c r="D54" s="569" t="n">
        <v>1081.31</v>
      </c>
      <c r="E54" s="569" t="n">
        <v>1114.83</v>
      </c>
      <c r="F54" s="569" t="n">
        <v>1268.7</v>
      </c>
      <c r="G54" s="569" t="n">
        <v>1383.17</v>
      </c>
      <c r="H54" s="569" t="n">
        <v>1450.4</v>
      </c>
      <c r="I54" s="569" t="n">
        <v>1672.43</v>
      </c>
      <c r="J54" s="569" t="n">
        <v>3274.33</v>
      </c>
      <c r="K54" s="569" t="n">
        <v>3380.3</v>
      </c>
    </row>
    <row r="55" ht="28" customHeight="1">
      <c r="A55" s="266" t="inlineStr">
        <is>
          <t>Intangible Assets - excluding Goodwill - Net - Total</t>
        </is>
      </c>
      <c r="B55" s="569" t="n">
        <v>272.59</v>
      </c>
      <c r="C55" s="569" t="n">
        <v>366.86</v>
      </c>
      <c r="D55" s="569" t="n">
        <v>538.08</v>
      </c>
      <c r="E55" s="569" t="n">
        <v>506.36</v>
      </c>
      <c r="F55" s="569" t="n">
        <v>550.6900000000001</v>
      </c>
      <c r="G55" s="569" t="n">
        <v>579.04</v>
      </c>
      <c r="H55" s="569" t="n">
        <v>582.3099999999999</v>
      </c>
      <c r="I55" s="569" t="n">
        <v>733.33</v>
      </c>
      <c r="J55" s="569" t="n">
        <v>1357.28</v>
      </c>
      <c r="K55" s="569" t="n">
        <v>1334.77</v>
      </c>
    </row>
    <row r="56" ht="42" customHeight="1">
      <c r="A56" s="268" t="inlineStr">
        <is>
          <t>Brands, Patents, Trademarks, Marketing &amp; Artistic Intangibles - Net</t>
        </is>
      </c>
      <c r="B56" s="265" t="n">
        <v>68.06</v>
      </c>
      <c r="C56" s="265" t="n">
        <v>96.66</v>
      </c>
      <c r="D56" s="569" t="n">
        <v>134.6</v>
      </c>
      <c r="E56" s="569" t="n">
        <v>134.81</v>
      </c>
      <c r="F56" s="569" t="n">
        <v>153.69</v>
      </c>
      <c r="G56" s="569" t="n">
        <v>166.89</v>
      </c>
      <c r="H56" s="569" t="n">
        <v>176.71</v>
      </c>
      <c r="I56" s="569" t="n">
        <v>215.05</v>
      </c>
      <c r="J56" s="569" t="n">
        <v>289.17</v>
      </c>
      <c r="K56" s="569" t="n">
        <v>293.26</v>
      </c>
    </row>
    <row r="57" ht="70" customHeight="1">
      <c r="A57" s="268" t="inlineStr">
        <is>
          <t>Licenses, Franchises, Copyrights, Property Rights, Prototypes, Contract Based, Models &amp; Designs - Net</t>
        </is>
      </c>
      <c r="B57" s="265" t="n">
        <v>77.55</v>
      </c>
      <c r="C57" s="569" t="n">
        <v>110.76</v>
      </c>
      <c r="D57" s="569" t="n">
        <v>140.58</v>
      </c>
      <c r="E57" s="569" t="n">
        <v>132.97</v>
      </c>
      <c r="F57" s="569" t="n">
        <v>148.65</v>
      </c>
      <c r="G57" s="569" t="n">
        <v>157.93</v>
      </c>
      <c r="H57" s="569" t="n">
        <v>162.19</v>
      </c>
      <c r="I57" s="569" t="n">
        <v>185.19</v>
      </c>
      <c r="J57" s="569" t="n">
        <v>326.83</v>
      </c>
      <c r="K57" s="569" t="n">
        <v>334.33</v>
      </c>
    </row>
    <row r="58" ht="28" customHeight="1">
      <c r="A58" s="268" t="inlineStr">
        <is>
          <t>Intangible Assets - Other - Net</t>
        </is>
      </c>
      <c r="B58" s="569" t="n">
        <v>126.99</v>
      </c>
      <c r="C58" s="569" t="n">
        <v>159.44</v>
      </c>
      <c r="D58" s="569" t="n">
        <v>262.9</v>
      </c>
      <c r="E58" s="569" t="n">
        <v>238.59</v>
      </c>
      <c r="F58" s="569" t="n">
        <v>248.35</v>
      </c>
      <c r="G58" s="569" t="n">
        <v>254.22</v>
      </c>
      <c r="H58" s="569" t="n">
        <v>243.41</v>
      </c>
      <c r="I58" s="569" t="n">
        <v>333.09</v>
      </c>
      <c r="J58" s="569" t="n">
        <v>741.28</v>
      </c>
      <c r="K58" s="569" t="n">
        <v>707.1799999999999</v>
      </c>
    </row>
    <row r="59">
      <c r="A59" s="271" t="inlineStr">
        <is>
          <t>Total Non-Current Assets</t>
        </is>
      </c>
      <c r="B59" s="571" t="n">
        <v>1232.78</v>
      </c>
      <c r="C59" s="571" t="n">
        <v>1455.25</v>
      </c>
      <c r="D59" s="571" t="n">
        <v>1880.54</v>
      </c>
      <c r="E59" s="571" t="n">
        <v>1919.59</v>
      </c>
      <c r="F59" s="571" t="n">
        <v>2155.48</v>
      </c>
      <c r="G59" s="571" t="n">
        <v>2382.09</v>
      </c>
      <c r="H59" s="571" t="n">
        <v>2561.02</v>
      </c>
      <c r="I59" s="571" t="n">
        <v>2942.77</v>
      </c>
      <c r="J59" s="571" t="n">
        <v>5339.72</v>
      </c>
      <c r="K59" s="571" t="n">
        <v>5530.53</v>
      </c>
    </row>
    <row r="60">
      <c r="A60" s="261" t="inlineStr">
        <is>
          <t>Total Assets</t>
        </is>
      </c>
      <c r="B60" s="262" t="n"/>
      <c r="C60" s="262" t="n"/>
      <c r="D60" s="262" t="n"/>
      <c r="E60" s="262" t="n"/>
      <c r="F60" s="262" t="n"/>
      <c r="G60" s="262" t="n"/>
      <c r="H60" s="262" t="n"/>
      <c r="I60" s="262" t="n"/>
      <c r="J60" s="262" t="n"/>
      <c r="K60" s="262" t="n"/>
    </row>
    <row r="61">
      <c r="A61" s="271" t="inlineStr">
        <is>
          <t>Total Assets</t>
        </is>
      </c>
      <c r="B61" s="571" t="n">
        <v>1736.39</v>
      </c>
      <c r="C61" s="571" t="n">
        <v>1998.41</v>
      </c>
      <c r="D61" s="571" t="n">
        <v>2512.43</v>
      </c>
      <c r="E61" s="571" t="n">
        <v>2653.4</v>
      </c>
      <c r="F61" s="571" t="n">
        <v>2969.21</v>
      </c>
      <c r="G61" s="571" t="n">
        <v>3547.71</v>
      </c>
      <c r="H61" s="571" t="n">
        <v>3498.41</v>
      </c>
      <c r="I61" s="571" t="n">
        <v>4095.5</v>
      </c>
      <c r="J61" s="571" t="n">
        <v>7195.06</v>
      </c>
      <c r="K61" s="571" t="n">
        <v>7592.82</v>
      </c>
    </row>
    <row r="62">
      <c r="A62" s="261" t="inlineStr">
        <is>
          <t>Current Liabilities</t>
        </is>
      </c>
      <c r="B62" s="262" t="n"/>
      <c r="C62" s="262" t="n"/>
      <c r="D62" s="262" t="n"/>
      <c r="E62" s="262" t="n"/>
      <c r="F62" s="262" t="n"/>
      <c r="G62" s="262" t="n"/>
      <c r="H62" s="262" t="n"/>
      <c r="I62" s="262" t="n"/>
      <c r="J62" s="262" t="n"/>
      <c r="K62" s="262" t="n"/>
    </row>
    <row r="63" ht="28" customHeight="1">
      <c r="A63" s="263" t="inlineStr">
        <is>
          <t>Trade Accounts Payable &amp; Accruals - Short-Term</t>
        </is>
      </c>
      <c r="B63" s="569" t="n">
        <v>164.84</v>
      </c>
      <c r="C63" s="569" t="n">
        <v>159.79</v>
      </c>
      <c r="D63" s="569" t="n">
        <v>188.24</v>
      </c>
      <c r="E63" s="569" t="n">
        <v>278.73</v>
      </c>
      <c r="F63" s="569" t="n">
        <v>237.3</v>
      </c>
      <c r="G63" s="569" t="n">
        <v>175.11</v>
      </c>
      <c r="H63" s="569" t="n">
        <v>219.98</v>
      </c>
      <c r="I63" s="569" t="n">
        <v>294.18</v>
      </c>
      <c r="J63" s="569" t="n">
        <v>468.32</v>
      </c>
      <c r="K63" s="569" t="n">
        <v>510.45</v>
      </c>
    </row>
    <row r="64" ht="28" customHeight="1">
      <c r="A64" s="266" t="inlineStr">
        <is>
          <t>Trade Accounts &amp; Trade Notes Payable - Short-Term</t>
        </is>
      </c>
      <c r="B64" s="265" t="n">
        <v>64.68000000000001</v>
      </c>
      <c r="C64" s="265" t="n">
        <v>73.33</v>
      </c>
      <c r="D64" s="265" t="n">
        <v>89.72</v>
      </c>
      <c r="E64" s="569" t="n">
        <v>107.22</v>
      </c>
      <c r="F64" s="569" t="n">
        <v>106.23</v>
      </c>
      <c r="G64" s="265" t="n">
        <v>76.23999999999999</v>
      </c>
      <c r="H64" s="265" t="n">
        <v>85.54000000000001</v>
      </c>
      <c r="I64" s="569" t="n">
        <v>116.55</v>
      </c>
      <c r="J64" s="569" t="n">
        <v>205.89</v>
      </c>
      <c r="K64" s="569" t="n">
        <v>198.43</v>
      </c>
    </row>
    <row r="65" ht="28" customHeight="1">
      <c r="A65" s="266" t="inlineStr">
        <is>
          <t>Accrued Expenses - Short-Term</t>
        </is>
      </c>
      <c r="B65" s="569" t="n">
        <v>100.16</v>
      </c>
      <c r="C65" s="265" t="n">
        <v>86.45999999999999</v>
      </c>
      <c r="D65" s="265" t="n">
        <v>98.51000000000001</v>
      </c>
      <c r="E65" s="569" t="n">
        <v>171.51</v>
      </c>
      <c r="F65" s="569" t="n">
        <v>131.08</v>
      </c>
      <c r="G65" s="265" t="n">
        <v>98.87</v>
      </c>
      <c r="H65" s="569" t="n">
        <v>134.44</v>
      </c>
      <c r="I65" s="569" t="n">
        <v>177.62</v>
      </c>
      <c r="J65" s="569" t="n">
        <v>262.42</v>
      </c>
      <c r="K65" s="569" t="n">
        <v>312.02</v>
      </c>
    </row>
    <row r="66" ht="28" customHeight="1">
      <c r="A66" s="263" t="inlineStr">
        <is>
          <t>Short-Term Debt &amp; Current Portion of Long-Term Debt</t>
        </is>
      </c>
      <c r="B66" s="265" t="n">
        <v>0.36</v>
      </c>
      <c r="C66" s="265" t="n">
        <v>0.41</v>
      </c>
      <c r="D66" s="265" t="n">
        <v>0.45</v>
      </c>
      <c r="E66" s="265" t="n">
        <v>0.86</v>
      </c>
      <c r="F66" s="265" t="n">
        <v>0.91</v>
      </c>
      <c r="G66" s="265" t="n">
        <v>1.05</v>
      </c>
      <c r="H66" s="265" t="n">
        <v>1.52</v>
      </c>
      <c r="I66" s="265" t="n">
        <v>1.65</v>
      </c>
      <c r="J66" s="265" t="n">
        <v>17.8</v>
      </c>
      <c r="K66" s="265" t="n">
        <v>4.11</v>
      </c>
    </row>
    <row r="67" ht="42" customHeight="1">
      <c r="A67" s="266" t="inlineStr">
        <is>
          <t>Current Portion of Long-Term Debt including Capitalized Leases</t>
        </is>
      </c>
      <c r="B67" s="265" t="n">
        <v>0.36</v>
      </c>
      <c r="C67" s="265" t="n">
        <v>0.41</v>
      </c>
      <c r="D67" s="265" t="n">
        <v>0.45</v>
      </c>
      <c r="E67" s="265" t="n">
        <v>0.86</v>
      </c>
      <c r="F67" s="265" t="n">
        <v>0.91</v>
      </c>
      <c r="G67" s="265" t="n">
        <v>1.05</v>
      </c>
      <c r="H67" s="265" t="n">
        <v>1.52</v>
      </c>
      <c r="I67" s="265" t="n">
        <v>1.65</v>
      </c>
      <c r="J67" s="265" t="n">
        <v>17.8</v>
      </c>
      <c r="K67" s="265" t="n">
        <v>4.11</v>
      </c>
    </row>
    <row r="68" ht="42" customHeight="1">
      <c r="A68" s="268" t="inlineStr">
        <is>
          <t>Current Portion of Long-Term Debt excluding Capitalized Leases</t>
        </is>
      </c>
      <c r="B68" s="269" t="n"/>
      <c r="C68" s="269" t="n"/>
      <c r="D68" s="269" t="n">
        <v>0</v>
      </c>
      <c r="E68" s="269" t="n"/>
      <c r="F68" s="269" t="n"/>
      <c r="G68" s="265" t="n">
        <v>0.01</v>
      </c>
      <c r="H68" s="265" t="n">
        <v>0.03</v>
      </c>
      <c r="I68" s="265" t="n">
        <v>0.03</v>
      </c>
      <c r="J68" s="265" t="n">
        <v>13.55</v>
      </c>
      <c r="K68" s="265" t="n">
        <v>0.05</v>
      </c>
    </row>
    <row r="69" ht="28" customHeight="1">
      <c r="A69" s="268" t="inlineStr">
        <is>
          <t>Capitalized Leases - Current Portion</t>
        </is>
      </c>
      <c r="B69" s="269" t="n"/>
      <c r="C69" s="265" t="n">
        <v>0.41</v>
      </c>
      <c r="D69" s="265" t="n">
        <v>0.45</v>
      </c>
      <c r="E69" s="269" t="n"/>
      <c r="F69" s="269" t="n"/>
      <c r="G69" s="265" t="n">
        <v>1.03</v>
      </c>
      <c r="H69" s="265" t="n">
        <v>1.48</v>
      </c>
      <c r="I69" s="265" t="n">
        <v>1.62</v>
      </c>
      <c r="J69" s="265" t="n">
        <v>4.25</v>
      </c>
      <c r="K69" s="265" t="n">
        <v>4.06</v>
      </c>
    </row>
    <row r="70" ht="28" customHeight="1">
      <c r="A70" s="263" t="inlineStr">
        <is>
          <t>Income Taxes - Payable - Short-Term</t>
        </is>
      </c>
      <c r="B70" s="265" t="n">
        <v>3.19</v>
      </c>
      <c r="C70" s="265" t="n">
        <v>4.62</v>
      </c>
      <c r="D70" s="265" t="n">
        <v>11.65</v>
      </c>
      <c r="E70" s="265" t="n">
        <v>2.84</v>
      </c>
      <c r="F70" s="265" t="n">
        <v>3.05</v>
      </c>
      <c r="G70" s="265" t="n">
        <v>1.65</v>
      </c>
      <c r="H70" s="265" t="n">
        <v>0.96</v>
      </c>
      <c r="I70" s="265" t="n">
        <v>12.46</v>
      </c>
      <c r="J70" s="265" t="n">
        <v>8.550000000000001</v>
      </c>
      <c r="K70" s="265" t="n">
        <v>33.53</v>
      </c>
    </row>
    <row r="71" ht="28" customHeight="1">
      <c r="A71" s="263" t="inlineStr">
        <is>
          <t>Operating Lease Liabilities - Current Portion/Short-Term</t>
        </is>
      </c>
      <c r="B71" s="269" t="n"/>
      <c r="C71" s="269" t="n"/>
      <c r="D71" s="269" t="n"/>
      <c r="E71" s="269" t="n"/>
      <c r="F71" s="269" t="n"/>
      <c r="G71" s="265" t="n">
        <v>14.18</v>
      </c>
      <c r="H71" s="265" t="n">
        <v>13.87</v>
      </c>
      <c r="I71" s="265" t="n">
        <v>14.66</v>
      </c>
      <c r="J71" s="265" t="n">
        <v>20.5</v>
      </c>
      <c r="K71" s="265" t="n">
        <v>23.42</v>
      </c>
    </row>
    <row r="72">
      <c r="A72" s="263" t="inlineStr">
        <is>
          <t>Other Current Liabilities - Total</t>
        </is>
      </c>
      <c r="B72" s="269" t="n"/>
      <c r="C72" s="265" t="n">
        <v>49.59</v>
      </c>
      <c r="D72" s="265" t="n">
        <v>49.1</v>
      </c>
      <c r="E72" s="269" t="n"/>
      <c r="F72" s="265" t="n">
        <v>47.88</v>
      </c>
      <c r="G72" s="265" t="n">
        <v>49.18</v>
      </c>
      <c r="H72" s="265" t="n">
        <v>58.55</v>
      </c>
      <c r="I72" s="265" t="n">
        <v>97.92</v>
      </c>
      <c r="J72" s="569" t="n">
        <v>150.17</v>
      </c>
      <c r="K72" s="265" t="n">
        <v>92.34</v>
      </c>
    </row>
    <row r="73" ht="28" customHeight="1">
      <c r="A73" s="266" t="inlineStr">
        <is>
          <t>Deferred Income - Short-Term</t>
        </is>
      </c>
      <c r="B73" s="269" t="n"/>
      <c r="C73" s="265" t="n">
        <v>32.14</v>
      </c>
      <c r="D73" s="265" t="n">
        <v>29.25</v>
      </c>
      <c r="E73" s="269" t="n"/>
      <c r="F73" s="265" t="n">
        <v>23.81</v>
      </c>
      <c r="G73" s="265" t="n">
        <v>25.63</v>
      </c>
      <c r="H73" s="265" t="n">
        <v>32.74</v>
      </c>
      <c r="I73" s="265" t="n">
        <v>58.76</v>
      </c>
      <c r="J73" s="265" t="n">
        <v>87.56</v>
      </c>
      <c r="K73" s="265" t="n">
        <v>83.90000000000001</v>
      </c>
    </row>
    <row r="74" ht="28" customHeight="1">
      <c r="A74" s="266" t="inlineStr">
        <is>
          <t>Billings in Excess of Cost - Short-Term</t>
        </is>
      </c>
      <c r="B74" s="269" t="n"/>
      <c r="C74" s="265" t="n">
        <v>11.01</v>
      </c>
      <c r="D74" s="265" t="n">
        <v>1.25</v>
      </c>
      <c r="E74" s="269" t="n"/>
      <c r="F74" s="269" t="n"/>
      <c r="G74" s="269" t="n"/>
      <c r="H74" s="269" t="n"/>
      <c r="I74" s="269" t="n"/>
      <c r="J74" s="269" t="n"/>
      <c r="K74" s="269" t="n"/>
    </row>
    <row r="75">
      <c r="A75" s="266" t="inlineStr">
        <is>
          <t>Other Current Liabilities</t>
        </is>
      </c>
      <c r="B75" s="269" t="n"/>
      <c r="C75" s="265" t="n">
        <v>6.45</v>
      </c>
      <c r="D75" s="265" t="n">
        <v>18.61</v>
      </c>
      <c r="E75" s="269" t="n"/>
      <c r="F75" s="265" t="n">
        <v>24.07</v>
      </c>
      <c r="G75" s="265" t="n">
        <v>23.55</v>
      </c>
      <c r="H75" s="265" t="n">
        <v>25.81</v>
      </c>
      <c r="I75" s="265" t="n">
        <v>39.16</v>
      </c>
      <c r="J75" s="265" t="n">
        <v>62.62</v>
      </c>
      <c r="K75" s="265" t="n">
        <v>8.44</v>
      </c>
    </row>
    <row r="76">
      <c r="A76" s="271" t="inlineStr">
        <is>
          <t>Total Current Liabilities</t>
        </is>
      </c>
      <c r="B76" s="571" t="n">
        <v>168.39</v>
      </c>
      <c r="C76" s="571" t="n">
        <v>214.42</v>
      </c>
      <c r="D76" s="571" t="n">
        <v>249.44</v>
      </c>
      <c r="E76" s="571" t="n">
        <v>282.43</v>
      </c>
      <c r="F76" s="571" t="n">
        <v>289.14</v>
      </c>
      <c r="G76" s="571" t="n">
        <v>241.16</v>
      </c>
      <c r="H76" s="571" t="n">
        <v>294.88</v>
      </c>
      <c r="I76" s="571" t="n">
        <v>420.86</v>
      </c>
      <c r="J76" s="571" t="n">
        <v>665.34</v>
      </c>
      <c r="K76" s="571" t="n">
        <v>663.85</v>
      </c>
    </row>
    <row r="77">
      <c r="A77" s="261" t="inlineStr">
        <is>
          <t>Non-Current Liabilities</t>
        </is>
      </c>
      <c r="B77" s="262" t="n"/>
      <c r="C77" s="262" t="n"/>
      <c r="D77" s="262" t="n"/>
      <c r="E77" s="262" t="n"/>
      <c r="F77" s="262" t="n"/>
      <c r="G77" s="262" t="n"/>
      <c r="H77" s="262" t="n"/>
      <c r="I77" s="262" t="n"/>
      <c r="J77" s="262" t="n"/>
      <c r="K77" s="262" t="n"/>
    </row>
    <row r="78">
      <c r="A78" s="263" t="inlineStr">
        <is>
          <t>Debt - Long-Term - Total</t>
        </is>
      </c>
      <c r="B78" s="569" t="n">
        <v>367.24</v>
      </c>
      <c r="C78" s="569" t="n">
        <v>457.81</v>
      </c>
      <c r="D78" s="569" t="n">
        <v>673.53</v>
      </c>
      <c r="E78" s="569" t="n">
        <v>531.61</v>
      </c>
      <c r="F78" s="569" t="n">
        <v>561.05</v>
      </c>
      <c r="G78" s="569" t="n">
        <v>738.79</v>
      </c>
      <c r="H78" s="569" t="n">
        <v>234.98</v>
      </c>
      <c r="I78" s="569" t="n">
        <v>288.62</v>
      </c>
      <c r="J78" s="569" t="n">
        <v>2460.28</v>
      </c>
      <c r="K78" s="569" t="n">
        <v>2225.27</v>
      </c>
    </row>
    <row r="79" ht="28" customHeight="1">
      <c r="A79" s="266" t="inlineStr">
        <is>
          <t>Long-Term Debt excluding Capitalized Leases</t>
        </is>
      </c>
      <c r="B79" s="569" t="n">
        <v>367.24</v>
      </c>
      <c r="C79" s="569" t="n">
        <v>457.81</v>
      </c>
      <c r="D79" s="569" t="n">
        <v>671.12</v>
      </c>
      <c r="E79" s="569" t="n">
        <v>531.61</v>
      </c>
      <c r="F79" s="569" t="n">
        <v>553.3200000000001</v>
      </c>
      <c r="G79" s="569" t="n">
        <v>730.25</v>
      </c>
      <c r="H79" s="569" t="n">
        <v>225.22</v>
      </c>
      <c r="I79" s="569" t="n">
        <v>275.24</v>
      </c>
      <c r="J79" s="569" t="n">
        <v>2436.71</v>
      </c>
      <c r="K79" s="569" t="n">
        <v>2203.47</v>
      </c>
    </row>
    <row r="80" ht="28" customHeight="1">
      <c r="A80" s="268" t="inlineStr">
        <is>
          <t>Debt - Non-Convertible - Long-Term</t>
        </is>
      </c>
      <c r="B80" s="569" t="n">
        <v>367.24</v>
      </c>
      <c r="C80" s="569" t="n">
        <v>457.81</v>
      </c>
      <c r="D80" s="569" t="n">
        <v>671.12</v>
      </c>
      <c r="E80" s="569" t="n">
        <v>531.61</v>
      </c>
      <c r="F80" s="569" t="n">
        <v>553.3200000000001</v>
      </c>
      <c r="G80" s="569" t="n">
        <v>730.25</v>
      </c>
      <c r="H80" s="569" t="n">
        <v>225.22</v>
      </c>
      <c r="I80" s="569" t="n">
        <v>275.24</v>
      </c>
      <c r="J80" s="569" t="n">
        <v>2436.71</v>
      </c>
      <c r="K80" s="569" t="n">
        <v>2203.47</v>
      </c>
    </row>
    <row r="81" ht="28" customHeight="1">
      <c r="A81" s="266" t="inlineStr">
        <is>
          <t>Capitalized Lease Obligations - Long-Term</t>
        </is>
      </c>
      <c r="B81" s="269" t="n"/>
      <c r="C81" s="269" t="n"/>
      <c r="D81" s="265" t="n">
        <v>2.41</v>
      </c>
      <c r="E81" s="269" t="n"/>
      <c r="F81" s="265" t="n">
        <v>7.73</v>
      </c>
      <c r="G81" s="265" t="n">
        <v>8.529999999999999</v>
      </c>
      <c r="H81" s="265" t="n">
        <v>9.76</v>
      </c>
      <c r="I81" s="265" t="n">
        <v>13.38</v>
      </c>
      <c r="J81" s="265" t="n">
        <v>23.56</v>
      </c>
      <c r="K81" s="265" t="n">
        <v>21.8</v>
      </c>
    </row>
    <row r="82" ht="28" customHeight="1">
      <c r="A82" s="263" t="inlineStr">
        <is>
          <t>Deferred Tax &amp; Investment Tax Credits - Long-Term</t>
        </is>
      </c>
      <c r="B82" s="569" t="n">
        <v>110.59</v>
      </c>
      <c r="C82" s="265" t="n">
        <v>64.90000000000001</v>
      </c>
      <c r="D82" s="265" t="n">
        <v>59.03</v>
      </c>
      <c r="E82" s="265" t="n">
        <v>46.64</v>
      </c>
      <c r="F82" s="265" t="n">
        <v>51.5</v>
      </c>
      <c r="G82" s="265" t="n">
        <v>55.66</v>
      </c>
      <c r="H82" s="265" t="n">
        <v>40.76</v>
      </c>
      <c r="I82" s="265" t="n">
        <v>71.16</v>
      </c>
      <c r="J82" s="569" t="n">
        <v>131.85</v>
      </c>
      <c r="K82" s="569" t="n">
        <v>114.16</v>
      </c>
    </row>
    <row r="83" ht="28" customHeight="1">
      <c r="A83" s="266" t="inlineStr">
        <is>
          <t>Deferred Tax - Liability - Long-Term</t>
        </is>
      </c>
      <c r="B83" s="569" t="n">
        <v>110.59</v>
      </c>
      <c r="C83" s="265" t="n">
        <v>64.90000000000001</v>
      </c>
      <c r="D83" s="265" t="n">
        <v>59.03</v>
      </c>
      <c r="E83" s="265" t="n">
        <v>46.64</v>
      </c>
      <c r="F83" s="265" t="n">
        <v>51.5</v>
      </c>
      <c r="G83" s="265" t="n">
        <v>55.66</v>
      </c>
      <c r="H83" s="265" t="n">
        <v>40.76</v>
      </c>
      <c r="I83" s="265" t="n">
        <v>71.16</v>
      </c>
      <c r="J83" s="569" t="n">
        <v>131.85</v>
      </c>
      <c r="K83" s="569" t="n">
        <v>114.16</v>
      </c>
    </row>
    <row r="84" ht="28" customHeight="1">
      <c r="A84" s="263" t="inlineStr">
        <is>
          <t>Operating Lease Liabilities - Long-Term</t>
        </is>
      </c>
      <c r="B84" s="269" t="n"/>
      <c r="C84" s="269" t="n"/>
      <c r="D84" s="269" t="n"/>
      <c r="E84" s="269" t="n"/>
      <c r="F84" s="269" t="n"/>
      <c r="G84" s="265" t="n">
        <v>44.11</v>
      </c>
      <c r="H84" s="265" t="n">
        <v>61.83</v>
      </c>
      <c r="I84" s="265" t="n">
        <v>76.97</v>
      </c>
      <c r="J84" s="569" t="n">
        <v>104.76</v>
      </c>
      <c r="K84" s="569" t="n">
        <v>113.46</v>
      </c>
    </row>
    <row r="85" ht="28" customHeight="1">
      <c r="A85" s="263" t="inlineStr">
        <is>
          <t>Other Non-Current Liabilities - Total</t>
        </is>
      </c>
      <c r="B85" s="569" t="n">
        <v>105.62</v>
      </c>
      <c r="C85" s="569" t="n">
        <v>114.06</v>
      </c>
      <c r="D85" s="569" t="n">
        <v>151.03</v>
      </c>
      <c r="E85" s="569" t="n">
        <v>157.66</v>
      </c>
      <c r="F85" s="569" t="n">
        <v>184.6</v>
      </c>
      <c r="G85" s="569" t="n">
        <v>236.18</v>
      </c>
      <c r="H85" s="569" t="n">
        <v>316.43</v>
      </c>
      <c r="I85" s="569" t="n">
        <v>261.98</v>
      </c>
      <c r="J85" s="569" t="n">
        <v>274.88</v>
      </c>
      <c r="K85" s="569" t="n">
        <v>412.53</v>
      </c>
    </row>
    <row r="86" ht="28" customHeight="1">
      <c r="A86" s="266" t="inlineStr">
        <is>
          <t>Deferred Revenue - Long-Term</t>
        </is>
      </c>
      <c r="B86" s="269" t="n"/>
      <c r="C86" s="269" t="n"/>
      <c r="D86" s="269" t="n"/>
      <c r="E86" s="269" t="n"/>
      <c r="F86" s="269" t="n"/>
      <c r="G86" s="269" t="n"/>
      <c r="H86" s="269" t="n"/>
      <c r="I86" s="269" t="n"/>
      <c r="J86" s="269" t="n"/>
      <c r="K86" s="265" t="n">
        <v>61.84</v>
      </c>
    </row>
    <row r="87">
      <c r="A87" s="266" t="inlineStr">
        <is>
          <t>Other Non-Current Liabilities</t>
        </is>
      </c>
      <c r="B87" s="569" t="n">
        <v>105.62</v>
      </c>
      <c r="C87" s="569" t="n">
        <v>114.06</v>
      </c>
      <c r="D87" s="569" t="n">
        <v>151.03</v>
      </c>
      <c r="E87" s="569" t="n">
        <v>157.66</v>
      </c>
      <c r="F87" s="569" t="n">
        <v>184.6</v>
      </c>
      <c r="G87" s="569" t="n">
        <v>236.18</v>
      </c>
      <c r="H87" s="569" t="n">
        <v>316.43</v>
      </c>
      <c r="I87" s="569" t="n">
        <v>261.98</v>
      </c>
      <c r="J87" s="569" t="n">
        <v>274.88</v>
      </c>
      <c r="K87" s="569" t="n">
        <v>350.69</v>
      </c>
    </row>
    <row r="88">
      <c r="A88" s="263" t="inlineStr">
        <is>
          <t>Minority Interest - Non-Equity</t>
        </is>
      </c>
      <c r="B88" s="265" t="n">
        <v>91.28</v>
      </c>
      <c r="C88" s="265" t="n">
        <v>99.51000000000001</v>
      </c>
      <c r="D88" s="569" t="n">
        <v>131.12</v>
      </c>
      <c r="E88" s="569" t="n">
        <v>132.05</v>
      </c>
      <c r="F88" s="569" t="n">
        <v>188.26</v>
      </c>
      <c r="G88" s="569" t="n">
        <v>221.21</v>
      </c>
      <c r="H88" s="569" t="n">
        <v>252.59</v>
      </c>
      <c r="I88" s="569" t="n">
        <v>327.6</v>
      </c>
      <c r="J88" s="569" t="n">
        <v>364.81</v>
      </c>
      <c r="K88" s="569" t="n">
        <v>366.16</v>
      </c>
    </row>
    <row r="89">
      <c r="A89" s="263" t="inlineStr">
        <is>
          <t>Total Non-Current Liabilities</t>
        </is>
      </c>
      <c r="B89" s="569" t="n">
        <v>674.73</v>
      </c>
      <c r="C89" s="569" t="n">
        <v>736.29</v>
      </c>
      <c r="D89" s="569" t="n">
        <v>1014.7</v>
      </c>
      <c r="E89" s="569" t="n">
        <v>867.96</v>
      </c>
      <c r="F89" s="569" t="n">
        <v>985.41</v>
      </c>
      <c r="G89" s="569" t="n">
        <v>1295.94</v>
      </c>
      <c r="H89" s="569" t="n">
        <v>906.59</v>
      </c>
      <c r="I89" s="569" t="n">
        <v>1026.33</v>
      </c>
      <c r="J89" s="569" t="n">
        <v>3336.57</v>
      </c>
      <c r="K89" s="569" t="n">
        <v>3231.57</v>
      </c>
    </row>
    <row r="90">
      <c r="A90" s="261" t="inlineStr">
        <is>
          <t>Total Liabilities</t>
        </is>
      </c>
      <c r="B90" s="262" t="n"/>
      <c r="C90" s="262" t="n"/>
      <c r="D90" s="262" t="n"/>
      <c r="E90" s="262" t="n"/>
      <c r="F90" s="262" t="n"/>
      <c r="G90" s="262" t="n"/>
      <c r="H90" s="262" t="n"/>
      <c r="I90" s="262" t="n"/>
      <c r="J90" s="262" t="n"/>
      <c r="K90" s="262" t="n"/>
    </row>
    <row r="91">
      <c r="A91" s="271" t="inlineStr">
        <is>
          <t>Total Liabilities</t>
        </is>
      </c>
      <c r="B91" s="571" t="n">
        <v>843.12</v>
      </c>
      <c r="C91" s="571" t="n">
        <v>950.71</v>
      </c>
      <c r="D91" s="571" t="n">
        <v>1264.14</v>
      </c>
      <c r="E91" s="571" t="n">
        <v>1150.39</v>
      </c>
      <c r="F91" s="571" t="n">
        <v>1274.55</v>
      </c>
      <c r="G91" s="571" t="n">
        <v>1537.1</v>
      </c>
      <c r="H91" s="571" t="n">
        <v>1201.47</v>
      </c>
      <c r="I91" s="571" t="n">
        <v>1447.19</v>
      </c>
      <c r="J91" s="571" t="n">
        <v>4001.91</v>
      </c>
      <c r="K91" s="571" t="n">
        <v>3895.42</v>
      </c>
    </row>
    <row r="92">
      <c r="A92" s="261" t="inlineStr">
        <is>
          <t>Shareholders' Equity</t>
        </is>
      </c>
      <c r="B92" s="262" t="n"/>
      <c r="C92" s="262" t="n"/>
      <c r="D92" s="262" t="n"/>
      <c r="E92" s="262" t="n"/>
      <c r="F92" s="262" t="n"/>
      <c r="G92" s="262" t="n"/>
      <c r="H92" s="262" t="n"/>
      <c r="I92" s="262" t="n"/>
      <c r="J92" s="262" t="n"/>
      <c r="K92" s="262" t="n"/>
    </row>
    <row r="93" ht="42" customHeight="1">
      <c r="A93" s="263" t="inlineStr">
        <is>
          <t>Shareholders' Equity - Attributable to Parent Shareholders - Total</t>
        </is>
      </c>
      <c r="B93" s="569" t="n">
        <v>809.86</v>
      </c>
      <c r="C93" s="569" t="n">
        <v>963.38</v>
      </c>
      <c r="D93" s="569" t="n">
        <v>1161.08</v>
      </c>
      <c r="E93" s="569" t="n">
        <v>1398.25</v>
      </c>
      <c r="F93" s="569" t="n">
        <v>1666.54</v>
      </c>
      <c r="G93" s="569" t="n">
        <v>1980.18</v>
      </c>
      <c r="H93" s="569" t="n">
        <v>2263.07</v>
      </c>
      <c r="I93" s="569" t="n">
        <v>2606.14</v>
      </c>
      <c r="J93" s="569" t="n">
        <v>3146</v>
      </c>
      <c r="K93" s="569" t="n">
        <v>3636.88</v>
      </c>
    </row>
    <row r="94">
      <c r="A94" s="266" t="inlineStr">
        <is>
          <t>Preferred Shareholders Equity</t>
        </is>
      </c>
      <c r="B94" s="269" t="n"/>
      <c r="C94" s="269" t="n"/>
      <c r="D94" s="269" t="n"/>
      <c r="E94" s="269" t="n">
        <v>0</v>
      </c>
      <c r="F94" s="269" t="n">
        <v>0</v>
      </c>
      <c r="G94" s="269" t="n">
        <v>0</v>
      </c>
      <c r="H94" s="269" t="n">
        <v>0</v>
      </c>
      <c r="I94" s="269" t="n"/>
      <c r="J94" s="269" t="n">
        <v>0</v>
      </c>
      <c r="K94" s="269" t="n"/>
    </row>
    <row r="95" ht="28" customHeight="1">
      <c r="A95" s="268" t="inlineStr">
        <is>
          <t>Preferred Stock - Non-Redeemable</t>
        </is>
      </c>
      <c r="B95" s="269" t="n"/>
      <c r="C95" s="269" t="n"/>
      <c r="D95" s="269" t="n"/>
      <c r="E95" s="269" t="n">
        <v>0</v>
      </c>
      <c r="F95" s="269" t="n">
        <v>0</v>
      </c>
      <c r="G95" s="269" t="n">
        <v>0</v>
      </c>
      <c r="H95" s="269" t="n">
        <v>0</v>
      </c>
      <c r="I95" s="269" t="n"/>
      <c r="J95" s="269" t="n">
        <v>0</v>
      </c>
      <c r="K95" s="269" t="n"/>
    </row>
    <row r="96" ht="28" customHeight="1">
      <c r="A96" s="266" t="inlineStr">
        <is>
          <t>Common Equity Attributable to Parent Shareholders</t>
        </is>
      </c>
      <c r="B96" s="569" t="n">
        <v>809.86</v>
      </c>
      <c r="C96" s="569" t="n">
        <v>963.38</v>
      </c>
      <c r="D96" s="569" t="n">
        <v>1161.08</v>
      </c>
      <c r="E96" s="569" t="n">
        <v>1398.25</v>
      </c>
      <c r="F96" s="569" t="n">
        <v>1666.54</v>
      </c>
      <c r="G96" s="569" t="n">
        <v>1980.18</v>
      </c>
      <c r="H96" s="569" t="n">
        <v>2263.07</v>
      </c>
      <c r="I96" s="569" t="n">
        <v>2606.14</v>
      </c>
      <c r="J96" s="569" t="n">
        <v>3146</v>
      </c>
      <c r="K96" s="569" t="n">
        <v>3636.88</v>
      </c>
    </row>
    <row r="97" ht="28" customHeight="1">
      <c r="A97" s="268" t="inlineStr">
        <is>
          <t>Common Equity - Contributed</t>
        </is>
      </c>
      <c r="B97" s="569" t="n">
        <v>286.89</v>
      </c>
      <c r="C97" s="569" t="n">
        <v>307</v>
      </c>
      <c r="D97" s="569" t="n">
        <v>327.39</v>
      </c>
      <c r="E97" s="569" t="n">
        <v>322.32</v>
      </c>
      <c r="F97" s="569" t="n">
        <v>285.95</v>
      </c>
      <c r="G97" s="569" t="n">
        <v>301.28</v>
      </c>
      <c r="H97" s="569" t="n">
        <v>322.1</v>
      </c>
      <c r="I97" s="569" t="n">
        <v>398.7</v>
      </c>
      <c r="J97" s="569" t="n">
        <v>580.1900000000001</v>
      </c>
      <c r="K97" s="569" t="n">
        <v>600.79</v>
      </c>
    </row>
    <row r="98" ht="28" customHeight="1">
      <c r="A98" s="277" t="inlineStr">
        <is>
          <t>Common Stock - Issued &amp; Paid</t>
        </is>
      </c>
      <c r="B98" s="265" t="n">
        <v>0.67</v>
      </c>
      <c r="C98" s="265" t="n">
        <v>0.67</v>
      </c>
      <c r="D98" s="265" t="n">
        <v>0.85</v>
      </c>
      <c r="E98" s="265" t="n">
        <v>1.33</v>
      </c>
      <c r="F98" s="265" t="n">
        <v>1.35</v>
      </c>
      <c r="G98" s="265" t="n">
        <v>1.35</v>
      </c>
      <c r="H98" s="265" t="n">
        <v>1.36</v>
      </c>
      <c r="I98" s="265" t="n">
        <v>1.37</v>
      </c>
      <c r="J98" s="265" t="n">
        <v>1.38</v>
      </c>
      <c r="K98" s="265" t="n">
        <v>1.39</v>
      </c>
    </row>
    <row r="99" ht="56" customHeight="1">
      <c r="A99" s="277" t="inlineStr">
        <is>
          <t>Common Stock - Additional Paid in Capital including Option Reserve</t>
        </is>
      </c>
      <c r="B99" s="569" t="n">
        <v>286.22</v>
      </c>
      <c r="C99" s="569" t="n">
        <v>306.33</v>
      </c>
      <c r="D99" s="569" t="n">
        <v>326.54</v>
      </c>
      <c r="E99" s="569" t="n">
        <v>320.99</v>
      </c>
      <c r="F99" s="569" t="n">
        <v>284.61</v>
      </c>
      <c r="G99" s="569" t="n">
        <v>299.93</v>
      </c>
      <c r="H99" s="569" t="n">
        <v>320.75</v>
      </c>
      <c r="I99" s="569" t="n">
        <v>397.34</v>
      </c>
      <c r="J99" s="569" t="n">
        <v>578.8099999999999</v>
      </c>
      <c r="K99" s="569" t="n">
        <v>599.4</v>
      </c>
    </row>
    <row r="100" ht="42" customHeight="1">
      <c r="A100" s="268" t="inlineStr">
        <is>
          <t>Equity - Non-Contributed - Reserves &amp; Retained Earnings</t>
        </is>
      </c>
      <c r="B100" s="569" t="n">
        <v>522.97</v>
      </c>
      <c r="C100" s="569" t="n">
        <v>656.38</v>
      </c>
      <c r="D100" s="569" t="n">
        <v>833.6900000000001</v>
      </c>
      <c r="E100" s="569" t="n">
        <v>1075.93</v>
      </c>
      <c r="F100" s="569" t="n">
        <v>1380.59</v>
      </c>
      <c r="G100" s="569" t="n">
        <v>1678.9</v>
      </c>
      <c r="H100" s="569" t="n">
        <v>1940.97</v>
      </c>
      <c r="I100" s="569" t="n">
        <v>2207.43</v>
      </c>
      <c r="J100" s="569" t="n">
        <v>2565.8</v>
      </c>
      <c r="K100" s="569" t="n">
        <v>3036.09</v>
      </c>
    </row>
    <row r="101" ht="28" customHeight="1">
      <c r="A101" s="277" t="inlineStr">
        <is>
          <t>Retained Earnings - Total</t>
        </is>
      </c>
      <c r="B101" s="569" t="n">
        <v>548.05</v>
      </c>
      <c r="C101" s="569" t="n">
        <v>681.7</v>
      </c>
      <c r="D101" s="569" t="n">
        <v>844.25</v>
      </c>
      <c r="E101" s="569" t="n">
        <v>1091.18</v>
      </c>
      <c r="F101" s="569" t="n">
        <v>1397.33</v>
      </c>
      <c r="G101" s="569" t="n">
        <v>1688.05</v>
      </c>
      <c r="H101" s="569" t="n">
        <v>1949.52</v>
      </c>
      <c r="I101" s="569" t="n">
        <v>2253.93</v>
      </c>
      <c r="J101" s="569" t="n">
        <v>2605.98</v>
      </c>
      <c r="K101" s="569" t="n">
        <v>3062.17</v>
      </c>
    </row>
    <row r="102" ht="28" customHeight="1">
      <c r="A102" s="277" t="inlineStr">
        <is>
          <t>Comprehensive Income - Accumulated - Total</t>
        </is>
      </c>
      <c r="B102" s="267" t="n">
        <v>-23.3</v>
      </c>
      <c r="C102" s="267" t="n">
        <v>-22.87</v>
      </c>
      <c r="D102" s="267" t="n">
        <v>-7.44</v>
      </c>
      <c r="E102" s="267" t="n">
        <v>-11.33</v>
      </c>
      <c r="F102" s="267" t="n">
        <v>-12.51</v>
      </c>
      <c r="G102" s="267" t="n">
        <v>-4.26</v>
      </c>
      <c r="H102" s="267" t="n">
        <v>-3.25</v>
      </c>
      <c r="I102" s="267" t="n">
        <v>-41.2</v>
      </c>
      <c r="J102" s="267" t="n">
        <v>-33.86</v>
      </c>
      <c r="K102" s="267" t="n">
        <v>-18.8</v>
      </c>
    </row>
    <row r="103" ht="56" customHeight="1">
      <c r="A103" s="278" t="inlineStr">
        <is>
          <t>Foreign Currency Translation Adjustment - Accumulated</t>
        </is>
      </c>
      <c r="B103" s="269" t="n"/>
      <c r="C103" s="267" t="n">
        <v>-23.95</v>
      </c>
      <c r="D103" s="267" t="n">
        <v>-9.529999999999999</v>
      </c>
      <c r="E103" s="269" t="n"/>
      <c r="F103" s="269" t="n"/>
      <c r="G103" s="267" t="n">
        <v>-6.46</v>
      </c>
      <c r="H103" s="267" t="n">
        <v>-6.99</v>
      </c>
      <c r="I103" s="267" t="n">
        <v>-45.37</v>
      </c>
      <c r="J103" s="267" t="n">
        <v>-39.16</v>
      </c>
      <c r="K103" s="267" t="n">
        <v>-25.67</v>
      </c>
    </row>
    <row r="104" ht="42" customHeight="1">
      <c r="A104" s="278" t="inlineStr">
        <is>
          <t>Comprehensive Income - Pension Liabilities</t>
        </is>
      </c>
      <c r="B104" s="269" t="n"/>
      <c r="C104" s="267" t="n">
        <v>-1.37</v>
      </c>
      <c r="D104" s="267" t="n">
        <v>-1.02</v>
      </c>
      <c r="E104" s="269" t="n"/>
      <c r="F104" s="269" t="n"/>
      <c r="G104" s="267" t="n">
        <v>-2.69</v>
      </c>
      <c r="H104" s="267" t="n">
        <v>-1.56</v>
      </c>
      <c r="I104" s="267" t="n">
        <v>-1.13</v>
      </c>
      <c r="J104" s="267" t="n">
        <v>-1.01</v>
      </c>
      <c r="K104" s="267" t="n">
        <v>-0.41</v>
      </c>
    </row>
    <row r="105" ht="42" customHeight="1">
      <c r="A105" s="278" t="inlineStr">
        <is>
          <t>Comprehensive Income - Unearned Compensation</t>
        </is>
      </c>
      <c r="B105" s="265" t="n">
        <v>1.78</v>
      </c>
      <c r="C105" s="265" t="n">
        <v>2.46</v>
      </c>
      <c r="D105" s="265" t="n">
        <v>3.12</v>
      </c>
      <c r="E105" s="265" t="n">
        <v>3.93</v>
      </c>
      <c r="F105" s="265" t="n">
        <v>4.23</v>
      </c>
      <c r="G105" s="265" t="n">
        <v>4.89</v>
      </c>
      <c r="H105" s="265" t="n">
        <v>5.3</v>
      </c>
      <c r="I105" s="265" t="n">
        <v>5.3</v>
      </c>
      <c r="J105" s="265" t="n">
        <v>6.32</v>
      </c>
      <c r="K105" s="265" t="n">
        <v>7.27</v>
      </c>
    </row>
    <row r="106" ht="42" customHeight="1">
      <c r="A106" s="278" t="inlineStr">
        <is>
          <t>Comprehensive Income - Other - Total</t>
        </is>
      </c>
      <c r="B106" s="267" t="n">
        <v>-25.08</v>
      </c>
      <c r="C106" s="269" t="n"/>
      <c r="D106" s="269" t="n"/>
      <c r="E106" s="267" t="n">
        <v>-15.26</v>
      </c>
      <c r="F106" s="267" t="n">
        <v>-16.74</v>
      </c>
      <c r="G106" s="269" t="n"/>
      <c r="H106" s="269" t="n"/>
      <c r="I106" s="269" t="n"/>
      <c r="J106" s="269" t="n"/>
      <c r="K106" s="269" t="n"/>
    </row>
    <row r="107" ht="28" customHeight="1">
      <c r="A107" s="277" t="inlineStr">
        <is>
          <t>Other Reserves/Equity - Total</t>
        </is>
      </c>
      <c r="B107" s="267" t="n">
        <v>-1.78</v>
      </c>
      <c r="C107" s="267" t="n">
        <v>-2.46</v>
      </c>
      <c r="D107" s="267" t="n">
        <v>-3.12</v>
      </c>
      <c r="E107" s="267" t="n">
        <v>-3.93</v>
      </c>
      <c r="F107" s="267" t="n">
        <v>-4.23</v>
      </c>
      <c r="G107" s="267" t="n">
        <v>-4.89</v>
      </c>
      <c r="H107" s="267" t="n">
        <v>-5.3</v>
      </c>
      <c r="I107" s="267" t="n">
        <v>-5.3</v>
      </c>
      <c r="J107" s="267" t="n">
        <v>-6.32</v>
      </c>
      <c r="K107" s="267" t="n">
        <v>-7.27</v>
      </c>
    </row>
    <row r="108">
      <c r="A108" s="266" t="inlineStr">
        <is>
          <t>Common Equity - Total</t>
        </is>
      </c>
      <c r="B108" s="569" t="n">
        <v>809.86</v>
      </c>
      <c r="C108" s="569" t="n">
        <v>963.38</v>
      </c>
      <c r="D108" s="569" t="n">
        <v>1161.08</v>
      </c>
      <c r="E108" s="569" t="n">
        <v>1398.25</v>
      </c>
      <c r="F108" s="569" t="n">
        <v>1666.54</v>
      </c>
      <c r="G108" s="569" t="n">
        <v>1980.18</v>
      </c>
      <c r="H108" s="569" t="n">
        <v>2263.07</v>
      </c>
      <c r="I108" s="569" t="n">
        <v>2606.14</v>
      </c>
      <c r="J108" s="569" t="n">
        <v>3146</v>
      </c>
      <c r="K108" s="569" t="n">
        <v>3636.88</v>
      </c>
    </row>
    <row r="109">
      <c r="A109" s="263" t="inlineStr">
        <is>
          <t>Minority Interest - Equity</t>
        </is>
      </c>
      <c r="B109" s="265" t="n">
        <v>83.41</v>
      </c>
      <c r="C109" s="265" t="n">
        <v>84.33</v>
      </c>
      <c r="D109" s="265" t="n">
        <v>87.20999999999999</v>
      </c>
      <c r="E109" s="569" t="n">
        <v>104.76</v>
      </c>
      <c r="F109" s="265" t="n">
        <v>28.12</v>
      </c>
      <c r="G109" s="265" t="n">
        <v>30.43</v>
      </c>
      <c r="H109" s="265" t="n">
        <v>33.87</v>
      </c>
      <c r="I109" s="265" t="n">
        <v>42.17</v>
      </c>
      <c r="J109" s="265" t="n">
        <v>47.16</v>
      </c>
      <c r="K109" s="265" t="n">
        <v>60.53</v>
      </c>
    </row>
    <row r="110">
      <c r="A110" s="261" t="inlineStr">
        <is>
          <t>Total Shareholders' Equity</t>
        </is>
      </c>
      <c r="B110" s="262" t="n"/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</row>
    <row r="111" ht="42" customHeight="1">
      <c r="A111" s="271" t="inlineStr">
        <is>
          <t>Total Shareholders' Equity - including Minority Interest &amp; Hybrid Debt</t>
        </is>
      </c>
      <c r="B111" s="571" t="n">
        <v>893.27</v>
      </c>
      <c r="C111" s="571" t="n">
        <v>1047.71</v>
      </c>
      <c r="D111" s="571" t="n">
        <v>1248.29</v>
      </c>
      <c r="E111" s="571" t="n">
        <v>1503.01</v>
      </c>
      <c r="F111" s="571" t="n">
        <v>1694.66</v>
      </c>
      <c r="G111" s="571" t="n">
        <v>2010.61</v>
      </c>
      <c r="H111" s="571" t="n">
        <v>2296.94</v>
      </c>
      <c r="I111" s="571" t="n">
        <v>2648.31</v>
      </c>
      <c r="J111" s="571" t="n">
        <v>3193.15</v>
      </c>
      <c r="K111" s="571" t="n">
        <v>3697.41</v>
      </c>
    </row>
    <row r="112" ht="28" customHeight="1">
      <c r="A112" s="261" t="inlineStr">
        <is>
          <t>Total Liabilities &amp; Shareholders' Equity</t>
        </is>
      </c>
      <c r="B112" s="262" t="n"/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</row>
    <row r="113">
      <c r="A113" s="271" t="inlineStr">
        <is>
          <t>Total Liabilities &amp; Equity</t>
        </is>
      </c>
      <c r="B113" s="571" t="n">
        <v>1736.39</v>
      </c>
      <c r="C113" s="571" t="n">
        <v>1998.41</v>
      </c>
      <c r="D113" s="571" t="n">
        <v>2512.43</v>
      </c>
      <c r="E113" s="571" t="n">
        <v>2653.4</v>
      </c>
      <c r="F113" s="571" t="n">
        <v>2969.21</v>
      </c>
      <c r="G113" s="571" t="n">
        <v>3547.71</v>
      </c>
      <c r="H113" s="571" t="n">
        <v>3498.41</v>
      </c>
      <c r="I113" s="571" t="n">
        <v>4095.5</v>
      </c>
      <c r="J113" s="571" t="n">
        <v>7195.06</v>
      </c>
      <c r="K113" s="571" t="n">
        <v>7592.82</v>
      </c>
    </row>
    <row r="114">
      <c r="A114" s="261" t="inlineStr">
        <is>
          <t>Share/Per Share - Common</t>
        </is>
      </c>
      <c r="B114" s="262" t="n"/>
      <c r="C114" s="262" t="n"/>
      <c r="D114" s="262" t="n"/>
      <c r="E114" s="262" t="n"/>
      <c r="F114" s="262" t="n"/>
      <c r="G114" s="262" t="n"/>
      <c r="H114" s="262" t="n"/>
      <c r="I114" s="262" t="n"/>
      <c r="J114" s="262" t="n"/>
      <c r="K114" s="262" t="n"/>
    </row>
    <row r="115" ht="28" customHeight="1">
      <c r="A115" s="263" t="inlineStr">
        <is>
          <t>Common Shares - Issued - Total</t>
        </is>
      </c>
      <c r="B115" s="569" t="n">
        <v>130.61</v>
      </c>
      <c r="C115" s="569" t="n">
        <v>131.42</v>
      </c>
      <c r="D115" s="569" t="n">
        <v>132</v>
      </c>
      <c r="E115" s="569" t="n">
        <v>132.93</v>
      </c>
      <c r="F115" s="569" t="n">
        <v>134.5</v>
      </c>
      <c r="G115" s="569" t="n">
        <v>135.12</v>
      </c>
      <c r="H115" s="569" t="n">
        <v>135.49</v>
      </c>
      <c r="I115" s="569" t="n">
        <v>136.61</v>
      </c>
      <c r="J115" s="569" t="n">
        <v>138.23</v>
      </c>
      <c r="K115" s="569" t="n">
        <v>138.81</v>
      </c>
    </row>
    <row r="116" ht="28" customHeight="1">
      <c r="A116" s="266" t="inlineStr">
        <is>
          <t>Common Shares - Outstanding - Total</t>
        </is>
      </c>
      <c r="B116" s="569" t="n">
        <v>130.61</v>
      </c>
      <c r="C116" s="569" t="n">
        <v>131.42</v>
      </c>
      <c r="D116" s="569" t="n">
        <v>132</v>
      </c>
      <c r="E116" s="569" t="n">
        <v>132.93</v>
      </c>
      <c r="F116" s="569" t="n">
        <v>134.5</v>
      </c>
      <c r="G116" s="569" t="n">
        <v>135.12</v>
      </c>
      <c r="H116" s="569" t="n">
        <v>135.49</v>
      </c>
      <c r="I116" s="569" t="n">
        <v>136.61</v>
      </c>
      <c r="J116" s="569" t="n">
        <v>138.23</v>
      </c>
      <c r="K116" s="569" t="n">
        <v>138.81</v>
      </c>
    </row>
    <row r="117" ht="28" customHeight="1">
      <c r="A117" s="266" t="inlineStr">
        <is>
          <t>Common Shares - Treasury - Total</t>
        </is>
      </c>
      <c r="B117" s="269" t="n">
        <v>0</v>
      </c>
      <c r="C117" s="269" t="n">
        <v>0</v>
      </c>
      <c r="D117" s="269" t="n">
        <v>0</v>
      </c>
      <c r="E117" s="269" t="n">
        <v>0</v>
      </c>
      <c r="F117" s="269" t="n">
        <v>0</v>
      </c>
      <c r="G117" s="269" t="n">
        <v>0</v>
      </c>
      <c r="H117" s="269" t="n">
        <v>0</v>
      </c>
      <c r="I117" s="269" t="n">
        <v>0</v>
      </c>
      <c r="J117" s="269" t="n">
        <v>0</v>
      </c>
      <c r="K117" s="269" t="n">
        <v>0</v>
      </c>
    </row>
    <row r="118" ht="28" customHeight="1">
      <c r="A118" s="263" t="inlineStr">
        <is>
          <t>Common Shares - Authorized - Issue Specific</t>
        </is>
      </c>
      <c r="B118" s="569" t="n">
        <v>146.48</v>
      </c>
      <c r="C118" s="569" t="n">
        <v>117.19</v>
      </c>
      <c r="D118" s="569" t="n">
        <v>117.19</v>
      </c>
      <c r="E118" s="569" t="n">
        <v>150</v>
      </c>
      <c r="F118" s="569" t="n">
        <v>150</v>
      </c>
      <c r="G118" s="569" t="n">
        <v>150</v>
      </c>
      <c r="H118" s="569" t="n">
        <v>150</v>
      </c>
      <c r="I118" s="569" t="n">
        <v>150</v>
      </c>
      <c r="J118" s="569" t="n">
        <v>150</v>
      </c>
      <c r="K118" s="569" t="n">
        <v>150</v>
      </c>
    </row>
    <row r="119" ht="28" customHeight="1">
      <c r="A119" s="263" t="inlineStr">
        <is>
          <t>Common Shares - Authorized - Issue Specific</t>
        </is>
      </c>
      <c r="B119" s="569" t="n">
        <v>146.48</v>
      </c>
      <c r="C119" s="569" t="n">
        <v>117.19</v>
      </c>
      <c r="D119" s="569" t="n">
        <v>117.19</v>
      </c>
      <c r="E119" s="569" t="n">
        <v>150</v>
      </c>
      <c r="F119" s="569" t="n">
        <v>150</v>
      </c>
      <c r="G119" s="569" t="n">
        <v>150</v>
      </c>
      <c r="H119" s="569" t="n">
        <v>150</v>
      </c>
      <c r="I119" s="569" t="n">
        <v>150</v>
      </c>
      <c r="J119" s="569" t="n">
        <v>150</v>
      </c>
      <c r="K119" s="569" t="n">
        <v>150</v>
      </c>
    </row>
    <row r="120" ht="28" customHeight="1">
      <c r="A120" s="263" t="inlineStr">
        <is>
          <t>Common Shares - Issued - Issue Specific</t>
        </is>
      </c>
      <c r="B120" s="265" t="n">
        <v>78.06</v>
      </c>
      <c r="C120" s="265" t="n">
        <v>78.73999999999999</v>
      </c>
      <c r="D120" s="265" t="n">
        <v>79.23</v>
      </c>
      <c r="E120" s="265" t="n">
        <v>79.58</v>
      </c>
      <c r="F120" s="265" t="n">
        <v>80.34999999999999</v>
      </c>
      <c r="G120" s="265" t="n">
        <v>80.92</v>
      </c>
      <c r="H120" s="265" t="n">
        <v>81.22</v>
      </c>
      <c r="I120" s="265" t="n">
        <v>82.09</v>
      </c>
      <c r="J120" s="265" t="n">
        <v>83.51000000000001</v>
      </c>
      <c r="K120" s="265" t="n">
        <v>83.83</v>
      </c>
    </row>
    <row r="121" ht="28" customHeight="1">
      <c r="A121" s="266" t="inlineStr">
        <is>
          <t>Common Shares - Outstanding - Issue Specific</t>
        </is>
      </c>
      <c r="B121" s="265" t="n">
        <v>78.06</v>
      </c>
      <c r="C121" s="265" t="n">
        <v>78.73999999999999</v>
      </c>
      <c r="D121" s="265" t="n">
        <v>79.23</v>
      </c>
      <c r="E121" s="265" t="n">
        <v>79.58</v>
      </c>
      <c r="F121" s="265" t="n">
        <v>80.34999999999999</v>
      </c>
      <c r="G121" s="265" t="n">
        <v>80.92</v>
      </c>
      <c r="H121" s="265" t="n">
        <v>81.22</v>
      </c>
      <c r="I121" s="265" t="n">
        <v>82.09</v>
      </c>
      <c r="J121" s="265" t="n">
        <v>83.51000000000001</v>
      </c>
      <c r="K121" s="265" t="n">
        <v>83.83</v>
      </c>
    </row>
    <row r="122" ht="28" customHeight="1">
      <c r="A122" s="266" t="inlineStr">
        <is>
          <t>Common Shares - Treasury - Issue Specific</t>
        </is>
      </c>
      <c r="B122" s="269" t="n">
        <v>0</v>
      </c>
      <c r="C122" s="269" t="n">
        <v>0</v>
      </c>
      <c r="D122" s="269" t="n">
        <v>0</v>
      </c>
      <c r="E122" s="269" t="n">
        <v>0</v>
      </c>
      <c r="F122" s="269" t="n">
        <v>0</v>
      </c>
      <c r="G122" s="269" t="n">
        <v>0</v>
      </c>
      <c r="H122" s="269" t="n">
        <v>0</v>
      </c>
      <c r="I122" s="269" t="n">
        <v>0</v>
      </c>
      <c r="J122" s="269" t="n">
        <v>0</v>
      </c>
      <c r="K122" s="269" t="n">
        <v>0</v>
      </c>
    </row>
    <row r="123" ht="28" customHeight="1">
      <c r="A123" s="263" t="inlineStr">
        <is>
          <t>Common Shares - Issued - Issue Specific</t>
        </is>
      </c>
      <c r="B123" s="265" t="n">
        <v>52.55</v>
      </c>
      <c r="C123" s="265" t="n">
        <v>52.68</v>
      </c>
      <c r="D123" s="265" t="n">
        <v>52.78</v>
      </c>
      <c r="E123" s="265" t="n">
        <v>53.36</v>
      </c>
      <c r="F123" s="265" t="n">
        <v>54.14</v>
      </c>
      <c r="G123" s="265" t="n">
        <v>54.2</v>
      </c>
      <c r="H123" s="265" t="n">
        <v>54.26</v>
      </c>
      <c r="I123" s="265" t="n">
        <v>54.52</v>
      </c>
      <c r="J123" s="265" t="n">
        <v>54.72</v>
      </c>
      <c r="K123" s="265" t="n">
        <v>54.99</v>
      </c>
    </row>
    <row r="124" ht="28" customHeight="1">
      <c r="A124" s="266" t="inlineStr">
        <is>
          <t>Common Shares - Outstanding - Issue Specific</t>
        </is>
      </c>
      <c r="B124" s="265" t="n">
        <v>52.55</v>
      </c>
      <c r="C124" s="265" t="n">
        <v>52.68</v>
      </c>
      <c r="D124" s="265" t="n">
        <v>52.78</v>
      </c>
      <c r="E124" s="265" t="n">
        <v>53.36</v>
      </c>
      <c r="F124" s="265" t="n">
        <v>54.14</v>
      </c>
      <c r="G124" s="265" t="n">
        <v>54.2</v>
      </c>
      <c r="H124" s="265" t="n">
        <v>54.26</v>
      </c>
      <c r="I124" s="265" t="n">
        <v>54.52</v>
      </c>
      <c r="J124" s="265" t="n">
        <v>54.72</v>
      </c>
      <c r="K124" s="265" t="n">
        <v>54.99</v>
      </c>
    </row>
    <row r="125" ht="28" customHeight="1">
      <c r="A125" s="266" t="inlineStr">
        <is>
          <t>Common Shares - Treasury - Issue Specific</t>
        </is>
      </c>
      <c r="B125" s="269" t="n">
        <v>0</v>
      </c>
      <c r="C125" s="269" t="n">
        <v>0</v>
      </c>
      <c r="D125" s="269" t="n">
        <v>0</v>
      </c>
      <c r="E125" s="269" t="n">
        <v>0</v>
      </c>
      <c r="F125" s="269" t="n">
        <v>0</v>
      </c>
      <c r="G125" s="269" t="n">
        <v>0</v>
      </c>
      <c r="H125" s="269" t="n">
        <v>0</v>
      </c>
      <c r="I125" s="269" t="n">
        <v>0</v>
      </c>
      <c r="J125" s="269" t="n">
        <v>0</v>
      </c>
      <c r="K125" s="269" t="n">
        <v>0</v>
      </c>
    </row>
    <row r="126">
      <c r="A126" s="261" t="inlineStr">
        <is>
          <t>Share/Per Share - Other</t>
        </is>
      </c>
      <c r="B126" s="262" t="n"/>
      <c r="C126" s="262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</row>
    <row r="127" ht="28" customHeight="1">
      <c r="A127" s="263" t="inlineStr">
        <is>
          <t>Asset Allocation Factor - Issue Specific</t>
        </is>
      </c>
      <c r="B127" s="265" t="n">
        <v>0.6</v>
      </c>
      <c r="C127" s="265" t="n">
        <v>0.6</v>
      </c>
      <c r="D127" s="265" t="n">
        <v>0.6</v>
      </c>
      <c r="E127" s="265" t="n">
        <v>0.6</v>
      </c>
      <c r="F127" s="265" t="n">
        <v>0.6</v>
      </c>
      <c r="G127" s="265" t="n">
        <v>0.6</v>
      </c>
      <c r="H127" s="265" t="n">
        <v>0.6</v>
      </c>
      <c r="I127" s="265" t="n">
        <v>0.6</v>
      </c>
      <c r="J127" s="265" t="n">
        <v>0.6</v>
      </c>
      <c r="K127" s="265" t="n">
        <v>0.6</v>
      </c>
    </row>
    <row r="128" ht="28" customHeight="1">
      <c r="A128" s="263" t="inlineStr">
        <is>
          <t>Asset Allocation Factor - Issue Specific</t>
        </is>
      </c>
      <c r="B128" s="265" t="n">
        <v>0.4</v>
      </c>
      <c r="C128" s="265" t="n">
        <v>0.4</v>
      </c>
      <c r="D128" s="265" t="n">
        <v>0.4</v>
      </c>
      <c r="E128" s="265" t="n">
        <v>0.4</v>
      </c>
      <c r="F128" s="265" t="n">
        <v>0.4</v>
      </c>
      <c r="G128" s="265" t="n">
        <v>0.4</v>
      </c>
      <c r="H128" s="265" t="n">
        <v>0.4</v>
      </c>
      <c r="I128" s="265" t="n">
        <v>0.4</v>
      </c>
      <c r="J128" s="265" t="n">
        <v>0.4</v>
      </c>
      <c r="K128" s="265" t="n">
        <v>0.4</v>
      </c>
    </row>
    <row r="129">
      <c r="A129" s="261" t="inlineStr">
        <is>
          <t>Right of Use Tangible Assets</t>
        </is>
      </c>
      <c r="B129" s="262" t="n"/>
      <c r="C129" s="262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</row>
    <row r="130" ht="28" customHeight="1">
      <c r="A130" s="263" t="inlineStr">
        <is>
          <t>Right of Use Tangible Assets - Total - Net - Supplemental</t>
        </is>
      </c>
      <c r="B130" s="269" t="n"/>
      <c r="C130" s="269" t="n"/>
      <c r="D130" s="269" t="n"/>
      <c r="E130" s="269" t="n"/>
      <c r="F130" s="269" t="n"/>
      <c r="G130" s="265" t="n">
        <v>67.61</v>
      </c>
      <c r="H130" s="265" t="n">
        <v>86.86</v>
      </c>
      <c r="I130" s="569" t="n">
        <v>105.54</v>
      </c>
      <c r="J130" s="569" t="n">
        <v>147.98</v>
      </c>
      <c r="K130" s="569" t="n">
        <v>155.86</v>
      </c>
    </row>
    <row r="131" ht="42" customHeight="1">
      <c r="A131" s="266" t="inlineStr">
        <is>
          <t>Right of Use Tangible Assets - Operating Lease - Net - Supplemental</t>
        </is>
      </c>
      <c r="B131" s="269" t="n"/>
      <c r="C131" s="269" t="n"/>
      <c r="D131" s="269" t="n"/>
      <c r="E131" s="269" t="n"/>
      <c r="F131" s="269" t="n"/>
      <c r="G131" s="265" t="n">
        <v>57.1</v>
      </c>
      <c r="H131" s="265" t="n">
        <v>74.61</v>
      </c>
      <c r="I131" s="265" t="n">
        <v>89.75</v>
      </c>
      <c r="J131" s="569" t="n">
        <v>121.37</v>
      </c>
      <c r="K131" s="569" t="n">
        <v>131.84</v>
      </c>
    </row>
    <row r="132" ht="42" customHeight="1">
      <c r="A132" s="266" t="inlineStr">
        <is>
          <t>Right of Use Tangible Assets - Capital/Finance Lease - Net - Supplemental</t>
        </is>
      </c>
      <c r="B132" s="269" t="n"/>
      <c r="C132" s="269" t="n"/>
      <c r="D132" s="269" t="n"/>
      <c r="E132" s="269" t="n"/>
      <c r="F132" s="269" t="n"/>
      <c r="G132" s="265" t="n">
        <v>10.51</v>
      </c>
      <c r="H132" s="265" t="n">
        <v>12.25</v>
      </c>
      <c r="I132" s="265" t="n">
        <v>15.79</v>
      </c>
      <c r="J132" s="265" t="n">
        <v>26.61</v>
      </c>
      <c r="K132" s="265" t="n">
        <v>24.02</v>
      </c>
    </row>
    <row r="133" ht="42" customHeight="1">
      <c r="A133" s="263" t="inlineStr">
        <is>
          <t>Property, Plant &amp; Equipment - excluding Right of Use Tangible Assets &amp; Capital Leases - Net</t>
        </is>
      </c>
      <c r="B133" s="269" t="n"/>
      <c r="C133" s="269" t="n"/>
      <c r="D133" s="269" t="n"/>
      <c r="E133" s="269" t="n"/>
      <c r="F133" s="269" t="n"/>
      <c r="G133" s="569" t="n">
        <v>158.34</v>
      </c>
      <c r="H133" s="569" t="n">
        <v>181.39</v>
      </c>
      <c r="I133" s="569" t="n">
        <v>210.09</v>
      </c>
      <c r="J133" s="569" t="n">
        <v>295.24</v>
      </c>
      <c r="K133" s="569" t="n">
        <v>315.01</v>
      </c>
    </row>
    <row r="134">
      <c r="A134" s="261" t="inlineStr">
        <is>
          <t>Right of Use Liabilities</t>
        </is>
      </c>
      <c r="B134" s="262" t="n"/>
      <c r="C134" s="262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</row>
    <row r="135" ht="28" customHeight="1">
      <c r="A135" s="263" t="inlineStr">
        <is>
          <t>Total Operating Lease Liabilities</t>
        </is>
      </c>
      <c r="B135" s="269" t="n"/>
      <c r="C135" s="269" t="n"/>
      <c r="D135" s="269" t="n"/>
      <c r="E135" s="269" t="n"/>
      <c r="F135" s="269" t="n"/>
      <c r="G135" s="265" t="n">
        <v>58.29</v>
      </c>
      <c r="H135" s="265" t="n">
        <v>75.7</v>
      </c>
      <c r="I135" s="265" t="n">
        <v>91.62</v>
      </c>
      <c r="J135" s="569" t="n">
        <v>125.26</v>
      </c>
      <c r="K135" s="569" t="n">
        <v>136.88</v>
      </c>
    </row>
    <row r="136" ht="42" customHeight="1">
      <c r="A136" s="266" t="inlineStr">
        <is>
          <t>Operating Lease Liabilities - Current Portion/Short-Term - Supplemental</t>
        </is>
      </c>
      <c r="B136" s="269" t="n"/>
      <c r="C136" s="269" t="n"/>
      <c r="D136" s="269" t="n"/>
      <c r="E136" s="269" t="n"/>
      <c r="F136" s="269" t="n"/>
      <c r="G136" s="265" t="n">
        <v>14.18</v>
      </c>
      <c r="H136" s="265" t="n">
        <v>13.87</v>
      </c>
      <c r="I136" s="265" t="n">
        <v>14.66</v>
      </c>
      <c r="J136" s="265" t="n">
        <v>20.5</v>
      </c>
      <c r="K136" s="265" t="n">
        <v>23.42</v>
      </c>
    </row>
    <row r="137" ht="28" customHeight="1">
      <c r="A137" s="266" t="inlineStr">
        <is>
          <t>Operating Lease Liabilities - Long-Term - Supplemental</t>
        </is>
      </c>
      <c r="B137" s="269" t="n"/>
      <c r="C137" s="269" t="n"/>
      <c r="D137" s="269" t="n"/>
      <c r="E137" s="269" t="n"/>
      <c r="F137" s="269" t="n"/>
      <c r="G137" s="265" t="n">
        <v>44.11</v>
      </c>
      <c r="H137" s="265" t="n">
        <v>61.83</v>
      </c>
      <c r="I137" s="265" t="n">
        <v>76.97</v>
      </c>
      <c r="J137" s="569" t="n">
        <v>104.76</v>
      </c>
      <c r="K137" s="569" t="n">
        <v>113.46</v>
      </c>
    </row>
    <row r="138" ht="28" customHeight="1">
      <c r="A138" s="263" t="inlineStr">
        <is>
          <t>Finance and Operating Lease Liabilities - Total</t>
        </is>
      </c>
      <c r="B138" s="269" t="n"/>
      <c r="C138" s="265" t="n">
        <v>0.41</v>
      </c>
      <c r="D138" s="265" t="n">
        <v>2.86</v>
      </c>
      <c r="E138" s="269" t="n"/>
      <c r="F138" s="265" t="n">
        <v>7.73</v>
      </c>
      <c r="G138" s="265" t="n">
        <v>67.86</v>
      </c>
      <c r="H138" s="265" t="n">
        <v>86.95</v>
      </c>
      <c r="I138" s="569" t="n">
        <v>106.62</v>
      </c>
      <c r="J138" s="569" t="n">
        <v>153.08</v>
      </c>
      <c r="K138" s="569" t="n">
        <v>162.74</v>
      </c>
    </row>
    <row r="139" ht="28" customHeight="1">
      <c r="A139" s="263" t="inlineStr">
        <is>
          <t>Debt including Finance and Operating Lease Liabilities</t>
        </is>
      </c>
      <c r="B139" s="569" t="n">
        <v>367.6</v>
      </c>
      <c r="C139" s="569" t="n">
        <v>458.23</v>
      </c>
      <c r="D139" s="569" t="n">
        <v>673.98</v>
      </c>
      <c r="E139" s="569" t="n">
        <v>532.47</v>
      </c>
      <c r="F139" s="569" t="n">
        <v>561.96</v>
      </c>
      <c r="G139" s="569" t="n">
        <v>798.13</v>
      </c>
      <c r="H139" s="569" t="n">
        <v>312.2</v>
      </c>
      <c r="I139" s="569" t="n">
        <v>381.9</v>
      </c>
      <c r="J139" s="569" t="n">
        <v>2603.34</v>
      </c>
      <c r="K139" s="569" t="n">
        <v>2366.25</v>
      </c>
    </row>
    <row r="140">
      <c r="A140" s="261" t="inlineStr">
        <is>
          <t>Long-Term &amp; Short-Term</t>
        </is>
      </c>
      <c r="B140" s="262" t="n"/>
      <c r="C140" s="262" t="n"/>
      <c r="D140" s="262" t="n"/>
      <c r="E140" s="262" t="n"/>
      <c r="F140" s="262" t="n"/>
      <c r="G140" s="262" t="n"/>
      <c r="H140" s="262" t="n"/>
      <c r="I140" s="262" t="n"/>
      <c r="J140" s="262" t="n"/>
      <c r="K140" s="262" t="n"/>
    </row>
    <row r="141">
      <c r="A141" s="263" t="inlineStr">
        <is>
          <t>Loans &amp; Receivables - Total</t>
        </is>
      </c>
      <c r="B141" s="569" t="n">
        <v>181.59</v>
      </c>
      <c r="C141" s="569" t="n">
        <v>202.23</v>
      </c>
      <c r="D141" s="569" t="n">
        <v>222.46</v>
      </c>
      <c r="E141" s="569" t="n">
        <v>251.47</v>
      </c>
      <c r="F141" s="569" t="n">
        <v>317.46</v>
      </c>
      <c r="G141" s="569" t="n">
        <v>270.86</v>
      </c>
      <c r="H141" s="569" t="n">
        <v>324.99</v>
      </c>
      <c r="I141" s="569" t="n">
        <v>388.83</v>
      </c>
      <c r="J141" s="569" t="n">
        <v>620.78</v>
      </c>
      <c r="K141" s="569" t="n">
        <v>650.72</v>
      </c>
    </row>
    <row r="142" ht="28" customHeight="1">
      <c r="A142" s="266" t="inlineStr">
        <is>
          <t>Accounts &amp; Notes Receivable - Trade - Gross - Total</t>
        </is>
      </c>
      <c r="B142" s="569" t="n">
        <v>183.63</v>
      </c>
      <c r="C142" s="569" t="n">
        <v>205.39</v>
      </c>
      <c r="D142" s="569" t="n">
        <v>225.46</v>
      </c>
      <c r="E142" s="569" t="n">
        <v>240.54</v>
      </c>
      <c r="F142" s="569" t="n">
        <v>277.99</v>
      </c>
      <c r="G142" s="569" t="n">
        <v>223.17</v>
      </c>
      <c r="H142" s="569" t="n">
        <v>255.79</v>
      </c>
      <c r="I142" s="569" t="n">
        <v>303.18</v>
      </c>
      <c r="J142" s="569" t="n">
        <v>521.7</v>
      </c>
      <c r="K142" s="569" t="n">
        <v>550.28</v>
      </c>
    </row>
    <row r="143">
      <c r="A143" s="263" t="inlineStr">
        <is>
          <t>Other Assets - Total</t>
        </is>
      </c>
      <c r="B143" s="569" t="n">
        <v>123.4</v>
      </c>
      <c r="C143" s="569" t="n">
        <v>101.06</v>
      </c>
      <c r="D143" s="569" t="n">
        <v>131.27</v>
      </c>
      <c r="E143" s="569" t="n">
        <v>143.66</v>
      </c>
      <c r="F143" s="569" t="n">
        <v>162.74</v>
      </c>
      <c r="G143" s="569" t="n">
        <v>193.93</v>
      </c>
      <c r="H143" s="569" t="n">
        <v>260.07</v>
      </c>
      <c r="I143" s="569" t="n">
        <v>221.38</v>
      </c>
      <c r="J143" s="569" t="n">
        <v>264.89</v>
      </c>
      <c r="K143" s="569" t="n">
        <v>344.59</v>
      </c>
    </row>
    <row r="144" ht="28" customHeight="1">
      <c r="A144" s="263" t="inlineStr">
        <is>
          <t>Income Taxes - Payable - Long-Term &amp; Short-Term</t>
        </is>
      </c>
      <c r="B144" s="265" t="n">
        <v>3.19</v>
      </c>
      <c r="C144" s="265" t="n">
        <v>4.62</v>
      </c>
      <c r="D144" s="265" t="n">
        <v>11.65</v>
      </c>
      <c r="E144" s="265" t="n">
        <v>2.84</v>
      </c>
      <c r="F144" s="265" t="n">
        <v>3.05</v>
      </c>
      <c r="G144" s="265" t="n">
        <v>1.65</v>
      </c>
      <c r="H144" s="265" t="n">
        <v>0.96</v>
      </c>
      <c r="I144" s="265" t="n">
        <v>12.46</v>
      </c>
      <c r="J144" s="265" t="n">
        <v>8.550000000000001</v>
      </c>
      <c r="K144" s="265" t="n">
        <v>33.53</v>
      </c>
    </row>
    <row r="145">
      <c r="A145" s="263" t="inlineStr">
        <is>
          <t>Payables &amp; Accrued Expenses</t>
        </is>
      </c>
      <c r="B145" s="569" t="n">
        <v>164.84</v>
      </c>
      <c r="C145" s="569" t="n">
        <v>159.79</v>
      </c>
      <c r="D145" s="569" t="n">
        <v>188.24</v>
      </c>
      <c r="E145" s="569" t="n">
        <v>278.73</v>
      </c>
      <c r="F145" s="569" t="n">
        <v>237.3</v>
      </c>
      <c r="G145" s="569" t="n">
        <v>175.11</v>
      </c>
      <c r="H145" s="569" t="n">
        <v>219.98</v>
      </c>
      <c r="I145" s="569" t="n">
        <v>294.18</v>
      </c>
      <c r="J145" s="569" t="n">
        <v>468.32</v>
      </c>
      <c r="K145" s="569" t="n">
        <v>510.45</v>
      </c>
    </row>
    <row r="146" ht="28" customHeight="1">
      <c r="A146" s="266" t="inlineStr">
        <is>
          <t>Trade Account Payables - Total</t>
        </is>
      </c>
      <c r="B146" s="265" t="n">
        <v>64.68000000000001</v>
      </c>
      <c r="C146" s="265" t="n">
        <v>73.33</v>
      </c>
      <c r="D146" s="265" t="n">
        <v>89.72</v>
      </c>
      <c r="E146" s="569" t="n">
        <v>107.22</v>
      </c>
      <c r="F146" s="569" t="n">
        <v>106.23</v>
      </c>
      <c r="G146" s="265" t="n">
        <v>76.23999999999999</v>
      </c>
      <c r="H146" s="265" t="n">
        <v>85.54000000000001</v>
      </c>
      <c r="I146" s="569" t="n">
        <v>116.55</v>
      </c>
      <c r="J146" s="569" t="n">
        <v>205.89</v>
      </c>
      <c r="K146" s="569" t="n">
        <v>198.43</v>
      </c>
    </row>
    <row r="147">
      <c r="A147" s="266" t="inlineStr">
        <is>
          <t>Accrued Expenses</t>
        </is>
      </c>
      <c r="B147" s="569" t="n">
        <v>100.16</v>
      </c>
      <c r="C147" s="265" t="n">
        <v>86.45999999999999</v>
      </c>
      <c r="D147" s="265" t="n">
        <v>98.51000000000001</v>
      </c>
      <c r="E147" s="569" t="n">
        <v>171.51</v>
      </c>
      <c r="F147" s="569" t="n">
        <v>131.08</v>
      </c>
      <c r="G147" s="265" t="n">
        <v>98.87</v>
      </c>
      <c r="H147" s="569" t="n">
        <v>134.44</v>
      </c>
      <c r="I147" s="569" t="n">
        <v>177.62</v>
      </c>
      <c r="J147" s="569" t="n">
        <v>262.42</v>
      </c>
      <c r="K147" s="569" t="n">
        <v>312.02</v>
      </c>
    </row>
    <row r="148" ht="28" customHeight="1">
      <c r="A148" s="263" t="inlineStr">
        <is>
          <t>Billings in Excess of Costs - Total</t>
        </is>
      </c>
      <c r="B148" s="269" t="n"/>
      <c r="C148" s="265" t="n">
        <v>11.01</v>
      </c>
      <c r="D148" s="265" t="n">
        <v>1.25</v>
      </c>
      <c r="E148" s="269" t="n"/>
      <c r="F148" s="269" t="n"/>
      <c r="G148" s="269" t="n"/>
      <c r="H148" s="269" t="n"/>
      <c r="I148" s="269" t="n"/>
      <c r="J148" s="269" t="n"/>
      <c r="K148" s="269" t="n"/>
    </row>
    <row r="149" ht="56" customHeight="1">
      <c r="A149" s="263" t="inlineStr">
        <is>
          <t>Contract Assets - Short-Term - Unbilled Revenue in Excess of Advance Consideration &amp; Progress Billings</t>
        </is>
      </c>
      <c r="B149" s="269" t="n"/>
      <c r="C149" s="269" t="n"/>
      <c r="D149" s="269" t="n"/>
      <c r="E149" s="265" t="n">
        <v>14.18</v>
      </c>
      <c r="F149" s="265" t="n">
        <v>43.13</v>
      </c>
      <c r="G149" s="265" t="n">
        <v>60.43</v>
      </c>
      <c r="H149" s="265" t="n">
        <v>80.06999999999999</v>
      </c>
      <c r="I149" s="265" t="n">
        <v>93.98</v>
      </c>
      <c r="J149" s="569" t="n">
        <v>111.7</v>
      </c>
      <c r="K149" s="569" t="n">
        <v>112.24</v>
      </c>
    </row>
    <row r="150">
      <c r="A150" s="261" t="inlineStr">
        <is>
          <t>Debt Related</t>
        </is>
      </c>
      <c r="B150" s="262" t="n"/>
      <c r="C150" s="262" t="n"/>
      <c r="D150" s="262" t="n"/>
      <c r="E150" s="262" t="n"/>
      <c r="F150" s="262" t="n"/>
      <c r="G150" s="262" t="n"/>
      <c r="H150" s="262" t="n"/>
      <c r="I150" s="262" t="n"/>
      <c r="J150" s="262" t="n"/>
      <c r="K150" s="262" t="n"/>
    </row>
    <row r="151">
      <c r="A151" s="263" t="inlineStr">
        <is>
          <t>Net Debt</t>
        </is>
      </c>
      <c r="B151" s="569" t="n">
        <v>334</v>
      </c>
      <c r="C151" s="569" t="n">
        <v>415.27</v>
      </c>
      <c r="D151" s="569" t="n">
        <v>621.91</v>
      </c>
      <c r="E151" s="569" t="n">
        <v>472.87</v>
      </c>
      <c r="F151" s="569" t="n">
        <v>504.95</v>
      </c>
      <c r="G151" s="569" t="n">
        <v>332.98</v>
      </c>
      <c r="H151" s="569" t="n">
        <v>128.2</v>
      </c>
      <c r="I151" s="569" t="n">
        <v>150.77</v>
      </c>
      <c r="J151" s="569" t="n">
        <v>2307.03</v>
      </c>
      <c r="K151" s="569" t="n">
        <v>2067.27</v>
      </c>
    </row>
    <row r="152">
      <c r="A152" s="263" t="inlineStr">
        <is>
          <t>Debt - Total</t>
        </is>
      </c>
      <c r="B152" s="569" t="n">
        <v>367.6</v>
      </c>
      <c r="C152" s="569" t="n">
        <v>458.23</v>
      </c>
      <c r="D152" s="569" t="n">
        <v>673.98</v>
      </c>
      <c r="E152" s="569" t="n">
        <v>532.47</v>
      </c>
      <c r="F152" s="569" t="n">
        <v>561.96</v>
      </c>
      <c r="G152" s="569" t="n">
        <v>739.83</v>
      </c>
      <c r="H152" s="569" t="n">
        <v>236.5</v>
      </c>
      <c r="I152" s="569" t="n">
        <v>290.27</v>
      </c>
      <c r="J152" s="569" t="n">
        <v>2478.08</v>
      </c>
      <c r="K152" s="569" t="n">
        <v>2229.37</v>
      </c>
    </row>
    <row r="153" ht="28" customHeight="1">
      <c r="A153" s="263" t="inlineStr">
        <is>
          <t>Revolving Line of Credit - Outstanding - Supplemental</t>
        </is>
      </c>
      <c r="B153" s="269" t="n"/>
      <c r="C153" s="269" t="n"/>
      <c r="D153" s="269" t="n"/>
      <c r="E153" s="269" t="n"/>
      <c r="F153" s="269" t="n"/>
      <c r="G153" s="569" t="n">
        <v>730</v>
      </c>
      <c r="H153" s="569" t="n">
        <v>225</v>
      </c>
      <c r="I153" s="569" t="n">
        <v>275</v>
      </c>
      <c r="J153" s="569" t="n">
        <v>1250</v>
      </c>
      <c r="K153" s="569" t="n">
        <v>1015</v>
      </c>
    </row>
    <row r="154" ht="28" customHeight="1">
      <c r="A154" s="263" t="inlineStr">
        <is>
          <t>Revolving Line of Credit - Total Principal Amount</t>
        </is>
      </c>
      <c r="B154" s="269" t="n"/>
      <c r="C154" s="269" t="n"/>
      <c r="D154" s="269" t="n"/>
      <c r="E154" s="269" t="n"/>
      <c r="F154" s="269" t="n"/>
      <c r="G154" s="569" t="n">
        <v>200</v>
      </c>
      <c r="H154" s="569" t="n">
        <v>350</v>
      </c>
      <c r="I154" s="569" t="n">
        <v>350</v>
      </c>
      <c r="J154" s="269" t="n"/>
      <c r="K154" s="269" t="n"/>
    </row>
    <row r="155">
      <c r="A155" s="261" t="inlineStr">
        <is>
          <t>Debt Maturity</t>
        </is>
      </c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K155" s="262" t="n"/>
    </row>
    <row r="156" ht="28" customHeight="1">
      <c r="A156" s="263" t="inlineStr">
        <is>
          <t>Debt - Long-Term - Maturities - Total</t>
        </is>
      </c>
      <c r="B156" s="269" t="n"/>
      <c r="C156" s="269" t="n"/>
      <c r="D156" s="569" t="n">
        <v>671.12</v>
      </c>
      <c r="E156" s="269" t="n"/>
      <c r="F156" s="569" t="n">
        <v>553.3200000000001</v>
      </c>
      <c r="G156" s="569" t="n">
        <v>730.26</v>
      </c>
      <c r="H156" s="269" t="n"/>
      <c r="I156" s="269" t="n"/>
      <c r="J156" s="269" t="n"/>
      <c r="K156" s="269" t="n"/>
    </row>
    <row r="157" ht="28" customHeight="1">
      <c r="A157" s="266" t="inlineStr">
        <is>
          <t>Debt - Long-Term - Maturities - within 1 Year</t>
        </is>
      </c>
      <c r="B157" s="269" t="n"/>
      <c r="C157" s="269" t="n"/>
      <c r="D157" s="269" t="n">
        <v>0</v>
      </c>
      <c r="E157" s="269" t="n"/>
      <c r="F157" s="265" t="n">
        <v>0.06</v>
      </c>
      <c r="G157" s="265" t="n">
        <v>0.01</v>
      </c>
      <c r="H157" s="269" t="n"/>
      <c r="I157" s="269" t="n"/>
      <c r="J157" s="269" t="n"/>
      <c r="K157" s="269" t="n"/>
    </row>
    <row r="158" ht="28" customHeight="1">
      <c r="A158" s="266" t="inlineStr">
        <is>
          <t>Debt - Long-Term - Maturities - Year 2</t>
        </is>
      </c>
      <c r="B158" s="269" t="n"/>
      <c r="C158" s="269" t="n"/>
      <c r="D158" s="569" t="n">
        <v>671.12</v>
      </c>
      <c r="E158" s="269" t="n"/>
      <c r="F158" s="265" t="n">
        <v>0.13</v>
      </c>
      <c r="G158" s="265" t="n">
        <v>0.1</v>
      </c>
      <c r="H158" s="269" t="n"/>
      <c r="I158" s="269" t="n"/>
      <c r="J158" s="269" t="n"/>
      <c r="K158" s="269" t="n"/>
    </row>
    <row r="159" ht="28" customHeight="1">
      <c r="A159" s="266" t="inlineStr">
        <is>
          <t>Debt - Long-Term - Maturities - Year 3</t>
        </is>
      </c>
      <c r="B159" s="269" t="n"/>
      <c r="C159" s="269" t="n"/>
      <c r="D159" s="269" t="n">
        <v>0</v>
      </c>
      <c r="E159" s="269" t="n"/>
      <c r="F159" s="569" t="n">
        <v>553.11</v>
      </c>
      <c r="G159" s="569" t="n">
        <v>730.11</v>
      </c>
      <c r="H159" s="269" t="n"/>
      <c r="I159" s="269" t="n"/>
      <c r="J159" s="269" t="n"/>
      <c r="K159" s="269" t="n"/>
    </row>
    <row r="160" ht="28" customHeight="1">
      <c r="A160" s="266" t="inlineStr">
        <is>
          <t>Debt - Long-Term - Maturities - Remaining</t>
        </is>
      </c>
      <c r="B160" s="269" t="n"/>
      <c r="C160" s="269" t="n"/>
      <c r="D160" s="269" t="n">
        <v>0</v>
      </c>
      <c r="E160" s="269" t="n"/>
      <c r="F160" s="265" t="n">
        <v>0.02</v>
      </c>
      <c r="G160" s="265" t="n">
        <v>0.05</v>
      </c>
      <c r="H160" s="269" t="n"/>
      <c r="I160" s="269" t="n"/>
      <c r="J160" s="269" t="n"/>
      <c r="K160" s="269" t="n"/>
    </row>
    <row r="161" ht="28" customHeight="1">
      <c r="A161" s="263" t="inlineStr">
        <is>
          <t>Debt - Long-Term - Maturities - 2-3 Years</t>
        </is>
      </c>
      <c r="B161" s="269" t="n"/>
      <c r="C161" s="269" t="n"/>
      <c r="D161" s="569" t="n">
        <v>671.12</v>
      </c>
      <c r="E161" s="269" t="n"/>
      <c r="F161" s="569" t="n">
        <v>553.24</v>
      </c>
      <c r="G161" s="569" t="n">
        <v>730.21</v>
      </c>
      <c r="H161" s="269" t="n"/>
      <c r="I161" s="269" t="n"/>
      <c r="J161" s="269" t="n"/>
      <c r="K161" s="269" t="n"/>
    </row>
    <row r="162" ht="28" customHeight="1">
      <c r="A162" s="263" t="inlineStr">
        <is>
          <t>Debt - Long-Term - Maturities - Year 6 &amp; Beyond</t>
        </is>
      </c>
      <c r="B162" s="269" t="n"/>
      <c r="C162" s="269" t="n"/>
      <c r="D162" s="269" t="n">
        <v>0</v>
      </c>
      <c r="E162" s="269" t="n"/>
      <c r="F162" s="265" t="n">
        <v>0.02</v>
      </c>
      <c r="G162" s="265" t="n">
        <v>0.05</v>
      </c>
      <c r="H162" s="269" t="n"/>
      <c r="I162" s="269" t="n"/>
      <c r="J162" s="269" t="n"/>
      <c r="K162" s="269" t="n"/>
    </row>
    <row r="163">
      <c r="A163" s="261" t="inlineStr">
        <is>
          <t>Capital Lease Maturity</t>
        </is>
      </c>
      <c r="B163" s="262" t="n"/>
      <c r="C163" s="262" t="n"/>
      <c r="D163" s="262" t="n"/>
      <c r="E163" s="262" t="n"/>
      <c r="F163" s="262" t="n"/>
      <c r="G163" s="262" t="n"/>
      <c r="H163" s="262" t="n"/>
      <c r="I163" s="262" t="n"/>
      <c r="J163" s="262" t="n"/>
      <c r="K163" s="262" t="n"/>
    </row>
    <row r="164">
      <c r="A164" s="263" t="inlineStr">
        <is>
          <t>Capital Lease Maturities - Total</t>
        </is>
      </c>
      <c r="B164" s="265" t="n">
        <v>2.4</v>
      </c>
      <c r="C164" s="269" t="n"/>
      <c r="D164" s="265" t="n">
        <v>3.33</v>
      </c>
      <c r="E164" s="269" t="n"/>
      <c r="F164" s="265" t="n">
        <v>10.96</v>
      </c>
      <c r="G164" s="265" t="n">
        <v>9.57</v>
      </c>
      <c r="H164" s="265" t="n">
        <v>11.25</v>
      </c>
      <c r="I164" s="265" t="n">
        <v>15</v>
      </c>
      <c r="J164" s="265" t="n">
        <v>27.82</v>
      </c>
      <c r="K164" s="265" t="n">
        <v>25.86</v>
      </c>
    </row>
    <row r="165" ht="28" customHeight="1">
      <c r="A165" s="266" t="inlineStr">
        <is>
          <t>Capital Lease Maturities - Due within 1 Year</t>
        </is>
      </c>
      <c r="B165" s="265" t="n">
        <v>0.46</v>
      </c>
      <c r="C165" s="269" t="n"/>
      <c r="D165" s="265" t="n">
        <v>0.57</v>
      </c>
      <c r="E165" s="269" t="n"/>
      <c r="F165" s="265" t="n">
        <v>1.21</v>
      </c>
      <c r="G165" s="265" t="n">
        <v>1.44</v>
      </c>
      <c r="H165" s="265" t="n">
        <v>1.96</v>
      </c>
      <c r="I165" s="265" t="n">
        <v>2.39</v>
      </c>
      <c r="J165" s="265" t="n">
        <v>5.63</v>
      </c>
      <c r="K165" s="265" t="n">
        <v>5.5</v>
      </c>
    </row>
    <row r="166" ht="28" customHeight="1">
      <c r="A166" s="266" t="inlineStr">
        <is>
          <t>Capital Lease Maturities - Due in Year 2</t>
        </is>
      </c>
      <c r="B166" s="265" t="n">
        <v>0.4</v>
      </c>
      <c r="C166" s="269" t="n"/>
      <c r="D166" s="269" t="n"/>
      <c r="E166" s="269" t="n"/>
      <c r="F166" s="269" t="n"/>
      <c r="G166" s="265" t="n">
        <v>1.43</v>
      </c>
      <c r="H166" s="265" t="n">
        <v>1.63</v>
      </c>
      <c r="I166" s="265" t="n">
        <v>2.28</v>
      </c>
      <c r="J166" s="265" t="n">
        <v>5.27</v>
      </c>
      <c r="K166" s="265" t="n">
        <v>4.86</v>
      </c>
    </row>
    <row r="167" ht="28" customHeight="1">
      <c r="A167" s="266" t="inlineStr">
        <is>
          <t>Capital Lease Maturities - Due in Year 3</t>
        </is>
      </c>
      <c r="B167" s="265" t="n">
        <v>0.4</v>
      </c>
      <c r="C167" s="269" t="n"/>
      <c r="D167" s="265" t="n">
        <v>1.1</v>
      </c>
      <c r="E167" s="269" t="n"/>
      <c r="F167" s="265" t="n">
        <v>2.42</v>
      </c>
      <c r="G167" s="265" t="n">
        <v>1.1</v>
      </c>
      <c r="H167" s="265" t="n">
        <v>1.52</v>
      </c>
      <c r="I167" s="265" t="n">
        <v>2.2</v>
      </c>
      <c r="J167" s="265" t="n">
        <v>4.63</v>
      </c>
      <c r="K167" s="265" t="n">
        <v>4.76</v>
      </c>
    </row>
    <row r="168" ht="28" customHeight="1">
      <c r="A168" s="266" t="inlineStr">
        <is>
          <t>Capital Lease Maturities - Due in Year 4</t>
        </is>
      </c>
      <c r="B168" s="265" t="n">
        <v>0.4</v>
      </c>
      <c r="C168" s="269" t="n"/>
      <c r="D168" s="269" t="n"/>
      <c r="E168" s="269" t="n"/>
      <c r="F168" s="269" t="n"/>
      <c r="G168" s="265" t="n">
        <v>1</v>
      </c>
      <c r="H168" s="265" t="n">
        <v>1.46</v>
      </c>
      <c r="I168" s="265" t="n">
        <v>2.18</v>
      </c>
      <c r="J168" s="265" t="n">
        <v>4.54</v>
      </c>
      <c r="K168" s="265" t="n">
        <v>4.34</v>
      </c>
    </row>
    <row r="169" ht="28" customHeight="1">
      <c r="A169" s="266" t="inlineStr">
        <is>
          <t>Capital Lease Maturities - Due in Year 5</t>
        </is>
      </c>
      <c r="B169" s="265" t="n">
        <v>0.36</v>
      </c>
      <c r="C169" s="269" t="n"/>
      <c r="D169" s="265" t="n">
        <v>1.03</v>
      </c>
      <c r="E169" s="269" t="n"/>
      <c r="F169" s="265" t="n">
        <v>1.74</v>
      </c>
      <c r="G169" s="265" t="n">
        <v>0.96</v>
      </c>
      <c r="H169" s="265" t="n">
        <v>1.44</v>
      </c>
      <c r="I169" s="265" t="n">
        <v>2.04</v>
      </c>
      <c r="J169" s="265" t="n">
        <v>4.11</v>
      </c>
      <c r="K169" s="265" t="n">
        <v>3.79</v>
      </c>
    </row>
    <row r="170" ht="28" customHeight="1">
      <c r="A170" s="266" t="inlineStr">
        <is>
          <t>Capital Lease Maturities - Remaining Maturities</t>
        </is>
      </c>
      <c r="B170" s="265" t="n">
        <v>0.75</v>
      </c>
      <c r="C170" s="269" t="n"/>
      <c r="D170" s="265" t="n">
        <v>0.62</v>
      </c>
      <c r="E170" s="269" t="n"/>
      <c r="F170" s="265" t="n">
        <v>5.6</v>
      </c>
      <c r="G170" s="265" t="n">
        <v>6.22</v>
      </c>
      <c r="H170" s="265" t="n">
        <v>5.81</v>
      </c>
      <c r="I170" s="265" t="n">
        <v>7.96</v>
      </c>
      <c r="J170" s="265" t="n">
        <v>9.99</v>
      </c>
      <c r="K170" s="265" t="n">
        <v>8.25</v>
      </c>
    </row>
    <row r="171" ht="28" customHeight="1">
      <c r="A171" s="266" t="inlineStr">
        <is>
          <t>Capital Lease Maturities - Interest Costs</t>
        </is>
      </c>
      <c r="B171" s="265" t="n">
        <v>0.36</v>
      </c>
      <c r="C171" s="269" t="n"/>
      <c r="D171" s="269" t="n"/>
      <c r="E171" s="269" t="n"/>
      <c r="F171" s="269" t="n"/>
      <c r="G171" s="265" t="n">
        <v>2.58</v>
      </c>
      <c r="H171" s="265" t="n">
        <v>2.57</v>
      </c>
      <c r="I171" s="265" t="n">
        <v>4.05</v>
      </c>
      <c r="J171" s="265" t="n">
        <v>6.36</v>
      </c>
      <c r="K171" s="265" t="n">
        <v>5.63</v>
      </c>
    </row>
    <row r="172" ht="28" customHeight="1">
      <c r="A172" s="263" t="inlineStr">
        <is>
          <t>Capital Lease Maturities - Due in 2-3 Years</t>
        </is>
      </c>
      <c r="B172" s="265" t="n">
        <v>0.8</v>
      </c>
      <c r="C172" s="269" t="n"/>
      <c r="D172" s="265" t="n">
        <v>1.1</v>
      </c>
      <c r="E172" s="269" t="n"/>
      <c r="F172" s="265" t="n">
        <v>2.42</v>
      </c>
      <c r="G172" s="265" t="n">
        <v>2.53</v>
      </c>
      <c r="H172" s="265" t="n">
        <v>3.15</v>
      </c>
      <c r="I172" s="265" t="n">
        <v>4.48</v>
      </c>
      <c r="J172" s="265" t="n">
        <v>9.91</v>
      </c>
      <c r="K172" s="265" t="n">
        <v>9.619999999999999</v>
      </c>
    </row>
    <row r="173" ht="28" customHeight="1">
      <c r="A173" s="263" t="inlineStr">
        <is>
          <t>Capital Lease Maturities - Due in 4-5 Years</t>
        </is>
      </c>
      <c r="B173" s="265" t="n">
        <v>0.75</v>
      </c>
      <c r="C173" s="269" t="n"/>
      <c r="D173" s="265" t="n">
        <v>1.03</v>
      </c>
      <c r="E173" s="269" t="n"/>
      <c r="F173" s="265" t="n">
        <v>1.74</v>
      </c>
      <c r="G173" s="265" t="n">
        <v>1.96</v>
      </c>
      <c r="H173" s="265" t="n">
        <v>2.9</v>
      </c>
      <c r="I173" s="265" t="n">
        <v>4.22</v>
      </c>
      <c r="J173" s="265" t="n">
        <v>8.65</v>
      </c>
      <c r="K173" s="265" t="n">
        <v>8.119999999999999</v>
      </c>
    </row>
    <row r="174" ht="28" customHeight="1">
      <c r="A174" s="263" t="inlineStr">
        <is>
          <t>Capital Lease Maturities - Due in Year 6 &amp; Beyond</t>
        </is>
      </c>
      <c r="B174" s="265" t="n">
        <v>0.75</v>
      </c>
      <c r="C174" s="269" t="n"/>
      <c r="D174" s="265" t="n">
        <v>0.62</v>
      </c>
      <c r="E174" s="269" t="n"/>
      <c r="F174" s="265" t="n">
        <v>5.6</v>
      </c>
      <c r="G174" s="265" t="n">
        <v>6.22</v>
      </c>
      <c r="H174" s="265" t="n">
        <v>5.81</v>
      </c>
      <c r="I174" s="265" t="n">
        <v>7.96</v>
      </c>
      <c r="J174" s="265" t="n">
        <v>9.99</v>
      </c>
      <c r="K174" s="265" t="n">
        <v>8.25</v>
      </c>
    </row>
    <row r="175">
      <c r="A175" s="261" t="inlineStr">
        <is>
          <t>Weighted Average Leases</t>
        </is>
      </c>
      <c r="B175" s="262" t="n"/>
      <c r="C175" s="262" t="n"/>
      <c r="D175" s="262" t="n"/>
      <c r="E175" s="262" t="n"/>
      <c r="F175" s="262" t="n"/>
      <c r="G175" s="262" t="n"/>
      <c r="H175" s="262" t="n"/>
      <c r="I175" s="262" t="n"/>
      <c r="J175" s="262" t="n"/>
      <c r="K175" s="262" t="n"/>
    </row>
    <row r="176" ht="42" customHeight="1">
      <c r="A176" s="263" t="inlineStr">
        <is>
          <t>Wgt Avg Remaining Lease Term (Years)-Operating Lease-US GAAP</t>
        </is>
      </c>
      <c r="B176" s="269" t="n"/>
      <c r="C176" s="269" t="n"/>
      <c r="D176" s="269" t="n"/>
      <c r="E176" s="269" t="n"/>
      <c r="F176" s="269" t="n"/>
      <c r="G176" s="265" t="n">
        <v>7</v>
      </c>
      <c r="H176" s="265" t="n">
        <v>9.1</v>
      </c>
      <c r="I176" s="265" t="n">
        <v>7.9</v>
      </c>
      <c r="J176" s="265" t="n">
        <v>7.1</v>
      </c>
      <c r="K176" s="265" t="n">
        <v>7.2</v>
      </c>
    </row>
    <row r="177" ht="28" customHeight="1">
      <c r="A177" s="263" t="inlineStr">
        <is>
          <t>Wgt Avg Remaining Lease Term (Years) - Finance Lease</t>
        </is>
      </c>
      <c r="B177" s="269" t="n"/>
      <c r="C177" s="269" t="n"/>
      <c r="D177" s="269" t="n"/>
      <c r="E177" s="269" t="n"/>
      <c r="F177" s="269" t="n"/>
      <c r="G177" s="265" t="n">
        <v>10.8</v>
      </c>
      <c r="H177" s="265" t="n">
        <v>9.199999999999999</v>
      </c>
      <c r="I177" s="265" t="n">
        <v>9</v>
      </c>
      <c r="J177" s="265" t="n">
        <v>7.5</v>
      </c>
      <c r="K177" s="265" t="n">
        <v>6.7</v>
      </c>
    </row>
    <row r="178" ht="42" customHeight="1">
      <c r="A178" s="263" t="inlineStr">
        <is>
          <t>Weighted Average Discount Rate - Operating Lease - US GAAP</t>
        </is>
      </c>
      <c r="B178" s="573" t="n"/>
      <c r="C178" s="573" t="n"/>
      <c r="D178" s="573" t="n"/>
      <c r="E178" s="573" t="n"/>
      <c r="F178" s="573" t="n"/>
      <c r="G178" s="573" t="n">
        <v>0</v>
      </c>
      <c r="H178" s="573" t="n">
        <v>0</v>
      </c>
      <c r="I178" s="573" t="n">
        <v>0</v>
      </c>
      <c r="J178" s="573" t="n">
        <v>0</v>
      </c>
      <c r="K178" s="573" t="n">
        <v>0</v>
      </c>
    </row>
    <row r="179" ht="28" customHeight="1">
      <c r="A179" s="263" t="inlineStr">
        <is>
          <t>Weighted Average Discount Rate - Finance Lease</t>
        </is>
      </c>
      <c r="B179" s="573" t="n"/>
      <c r="C179" s="573" t="n"/>
      <c r="D179" s="573" t="n"/>
      <c r="E179" s="573" t="n"/>
      <c r="F179" s="573" t="n"/>
      <c r="G179" s="573" t="n">
        <v>0</v>
      </c>
      <c r="H179" s="573" t="n">
        <v>0</v>
      </c>
      <c r="I179" s="573" t="n">
        <v>0</v>
      </c>
      <c r="J179" s="573" t="n">
        <v>0</v>
      </c>
      <c r="K179" s="573" t="n">
        <v>0</v>
      </c>
    </row>
    <row r="180">
      <c r="A180" s="261" t="inlineStr">
        <is>
          <t>Other</t>
        </is>
      </c>
      <c r="B180" s="262" t="n"/>
      <c r="C180" s="262" t="n"/>
      <c r="D180" s="262" t="n"/>
      <c r="E180" s="262" t="n"/>
      <c r="F180" s="262" t="n"/>
      <c r="G180" s="262" t="n"/>
      <c r="H180" s="262" t="n"/>
      <c r="I180" s="262" t="n"/>
      <c r="J180" s="262" t="n"/>
      <c r="K180" s="262" t="n"/>
    </row>
    <row r="181" ht="56" customHeight="1">
      <c r="A181" s="263" t="inlineStr">
        <is>
          <t>Contract Liabilities - Short-Term - Advance Consideration &amp; Progress Billings in Excess of Unbilled Revenue</t>
        </is>
      </c>
      <c r="B181" s="269" t="n"/>
      <c r="C181" s="269" t="n"/>
      <c r="D181" s="269" t="n"/>
      <c r="E181" s="269" t="n"/>
      <c r="F181" s="265" t="n">
        <v>23.81</v>
      </c>
      <c r="G181" s="265" t="n">
        <v>25.63</v>
      </c>
      <c r="H181" s="265" t="n">
        <v>32.74</v>
      </c>
      <c r="I181" s="265" t="n">
        <v>58.76</v>
      </c>
      <c r="J181" s="265" t="n">
        <v>87.56</v>
      </c>
      <c r="K181" s="265" t="n">
        <v>83.90000000000001</v>
      </c>
    </row>
    <row r="182" ht="56" customHeight="1">
      <c r="A182" s="263" t="inlineStr">
        <is>
          <t>Contract Liabilities - Long-Term - Advance Consideration &amp; Progress Billings in Excess of Unbilled Revenue</t>
        </is>
      </c>
      <c r="B182" s="269" t="n"/>
      <c r="C182" s="269" t="n"/>
      <c r="D182" s="269" t="n"/>
      <c r="E182" s="269" t="n"/>
      <c r="F182" s="269" t="n"/>
      <c r="G182" s="269" t="n"/>
      <c r="H182" s="269" t="n"/>
      <c r="I182" s="269" t="n"/>
      <c r="J182" s="269" t="n"/>
      <c r="K182" s="265" t="n">
        <v>61.84</v>
      </c>
    </row>
    <row r="183">
      <c r="A183" s="263" t="inlineStr">
        <is>
          <t>Minority Interest - Total</t>
        </is>
      </c>
      <c r="B183" s="569" t="n">
        <v>174.69</v>
      </c>
      <c r="C183" s="569" t="n">
        <v>183.84</v>
      </c>
      <c r="D183" s="569" t="n">
        <v>218.34</v>
      </c>
      <c r="E183" s="569" t="n">
        <v>236.8</v>
      </c>
      <c r="F183" s="569" t="n">
        <v>216.38</v>
      </c>
      <c r="G183" s="569" t="n">
        <v>251.64</v>
      </c>
      <c r="H183" s="569" t="n">
        <v>286.46</v>
      </c>
      <c r="I183" s="569" t="n">
        <v>369.77</v>
      </c>
      <c r="J183" s="569" t="n">
        <v>411.96</v>
      </c>
      <c r="K183" s="569" t="n">
        <v>426.69</v>
      </c>
    </row>
    <row r="184">
      <c r="A184" s="263" t="inlineStr">
        <is>
          <t>Accruals - Short-Term</t>
        </is>
      </c>
      <c r="B184" s="569" t="n">
        <v>301.62</v>
      </c>
      <c r="C184" s="569" t="n">
        <v>285.78</v>
      </c>
      <c r="D184" s="569" t="n">
        <v>330.39</v>
      </c>
      <c r="E184" s="569" t="n">
        <v>391.78</v>
      </c>
      <c r="F184" s="569" t="n">
        <v>467.59</v>
      </c>
      <c r="G184" s="569" t="n">
        <v>517.61</v>
      </c>
      <c r="H184" s="569" t="n">
        <v>534.21</v>
      </c>
      <c r="I184" s="569" t="n">
        <v>592.37</v>
      </c>
      <c r="J184" s="569" t="n">
        <v>1018.95</v>
      </c>
      <c r="K184" s="569" t="n">
        <v>1236.34</v>
      </c>
    </row>
    <row r="185">
      <c r="A185" s="263" t="inlineStr">
        <is>
          <t>Asset Accruals</t>
        </is>
      </c>
      <c r="B185" s="569" t="n">
        <v>936.15</v>
      </c>
      <c r="C185" s="569" t="n">
        <v>1089.74</v>
      </c>
      <c r="D185" s="569" t="n">
        <v>1379.06</v>
      </c>
      <c r="E185" s="569" t="n">
        <v>1478.97</v>
      </c>
      <c r="F185" s="569" t="n">
        <v>1643.51</v>
      </c>
      <c r="G185" s="569" t="n">
        <v>1757.69</v>
      </c>
      <c r="H185" s="569" t="n">
        <v>1939.71</v>
      </c>
      <c r="I185" s="569" t="n">
        <v>2283.57</v>
      </c>
      <c r="J185" s="569" t="n">
        <v>3749.69</v>
      </c>
      <c r="K185" s="569" t="n">
        <v>4050.42</v>
      </c>
    </row>
    <row r="186">
      <c r="A186" s="263" t="inlineStr">
        <is>
          <t>Cash &amp; Cash Equivalents - Total</t>
        </is>
      </c>
      <c r="B186" s="265" t="n">
        <v>33.6</v>
      </c>
      <c r="C186" s="265" t="n">
        <v>42.96</v>
      </c>
      <c r="D186" s="265" t="n">
        <v>52.07</v>
      </c>
      <c r="E186" s="265" t="n">
        <v>59.6</v>
      </c>
      <c r="F186" s="265" t="n">
        <v>57</v>
      </c>
      <c r="G186" s="569" t="n">
        <v>406.85</v>
      </c>
      <c r="H186" s="569" t="n">
        <v>108.3</v>
      </c>
      <c r="I186" s="569" t="n">
        <v>139.5</v>
      </c>
      <c r="J186" s="569" t="n">
        <v>171.05</v>
      </c>
      <c r="K186" s="569" t="n">
        <v>162.1</v>
      </c>
    </row>
    <row r="187" ht="28" customHeight="1">
      <c r="A187" s="263" t="inlineStr">
        <is>
          <t>Cash &amp; Short Term Investments - Total</t>
        </is>
      </c>
      <c r="B187" s="265" t="n">
        <v>33.6</v>
      </c>
      <c r="C187" s="265" t="n">
        <v>42.96</v>
      </c>
      <c r="D187" s="265" t="n">
        <v>52.07</v>
      </c>
      <c r="E187" s="265" t="n">
        <v>59.6</v>
      </c>
      <c r="F187" s="265" t="n">
        <v>57</v>
      </c>
      <c r="G187" s="569" t="n">
        <v>406.85</v>
      </c>
      <c r="H187" s="569" t="n">
        <v>108.3</v>
      </c>
      <c r="I187" s="569" t="n">
        <v>139.5</v>
      </c>
      <c r="J187" s="569" t="n">
        <v>171.05</v>
      </c>
      <c r="K187" s="569" t="n">
        <v>162.1</v>
      </c>
    </row>
    <row r="188" ht="42" customHeight="1">
      <c r="A188" s="263" t="inlineStr">
        <is>
          <t>Debt - including Preferred Equity &amp; Minority Interest - Total</t>
        </is>
      </c>
      <c r="B188" s="569" t="n">
        <v>542.29</v>
      </c>
      <c r="C188" s="569" t="n">
        <v>642.0599999999999</v>
      </c>
      <c r="D188" s="569" t="n">
        <v>892.3099999999999</v>
      </c>
      <c r="E188" s="569" t="n">
        <v>769.27</v>
      </c>
      <c r="F188" s="569" t="n">
        <v>778.34</v>
      </c>
      <c r="G188" s="569" t="n">
        <v>991.47</v>
      </c>
      <c r="H188" s="569" t="n">
        <v>522.95</v>
      </c>
      <c r="I188" s="569" t="n">
        <v>660.05</v>
      </c>
      <c r="J188" s="569" t="n">
        <v>2890.04</v>
      </c>
      <c r="K188" s="569" t="n">
        <v>2656.06</v>
      </c>
    </row>
    <row r="189">
      <c r="A189" s="263" t="inlineStr">
        <is>
          <t>Net Book Capital</t>
        </is>
      </c>
      <c r="B189" s="569" t="n">
        <v>1227.27</v>
      </c>
      <c r="C189" s="569" t="n">
        <v>1462.98</v>
      </c>
      <c r="D189" s="569" t="n">
        <v>1870.21</v>
      </c>
      <c r="E189" s="569" t="n">
        <v>1975.88</v>
      </c>
      <c r="F189" s="569" t="n">
        <v>2199.61</v>
      </c>
      <c r="G189" s="569" t="n">
        <v>2343.59</v>
      </c>
      <c r="H189" s="569" t="n">
        <v>2425.14</v>
      </c>
      <c r="I189" s="569" t="n">
        <v>2799.08</v>
      </c>
      <c r="J189" s="569" t="n">
        <v>5500.18</v>
      </c>
      <c r="K189" s="569" t="n">
        <v>5764.68</v>
      </c>
    </row>
    <row r="190">
      <c r="A190" s="263" t="inlineStr">
        <is>
          <t>Net Operating Assets</t>
        </is>
      </c>
      <c r="B190" s="569" t="n">
        <v>1318.55</v>
      </c>
      <c r="C190" s="569" t="n">
        <v>1562.49</v>
      </c>
      <c r="D190" s="569" t="n">
        <v>2001.33</v>
      </c>
      <c r="E190" s="569" t="n">
        <v>2107.93</v>
      </c>
      <c r="F190" s="569" t="n">
        <v>2387.88</v>
      </c>
      <c r="G190" s="569" t="n">
        <v>2564.79</v>
      </c>
      <c r="H190" s="569" t="n">
        <v>2677.73</v>
      </c>
      <c r="I190" s="569" t="n">
        <v>3126.68</v>
      </c>
      <c r="J190" s="569" t="n">
        <v>5864.99</v>
      </c>
      <c r="K190" s="569" t="n">
        <v>6130.83</v>
      </c>
    </row>
    <row r="191">
      <c r="A191" s="263" t="inlineStr">
        <is>
          <t>Provisions - Total</t>
        </is>
      </c>
      <c r="B191" s="569" t="n">
        <v>110.59</v>
      </c>
      <c r="C191" s="265" t="n">
        <v>64.90000000000001</v>
      </c>
      <c r="D191" s="265" t="n">
        <v>59.03</v>
      </c>
      <c r="E191" s="265" t="n">
        <v>46.64</v>
      </c>
      <c r="F191" s="265" t="n">
        <v>51.5</v>
      </c>
      <c r="G191" s="265" t="n">
        <v>55.66</v>
      </c>
      <c r="H191" s="265" t="n">
        <v>40.76</v>
      </c>
      <c r="I191" s="265" t="n">
        <v>71.16</v>
      </c>
      <c r="J191" s="569" t="n">
        <v>131.85</v>
      </c>
      <c r="K191" s="569" t="n">
        <v>114.16</v>
      </c>
    </row>
    <row r="192">
      <c r="A192" s="263" t="inlineStr">
        <is>
          <t>Shareholders Equity - Common</t>
        </is>
      </c>
      <c r="B192" s="569" t="n">
        <v>809.86</v>
      </c>
      <c r="C192" s="569" t="n">
        <v>963.38</v>
      </c>
      <c r="D192" s="569" t="n">
        <v>1161.08</v>
      </c>
      <c r="E192" s="569" t="n">
        <v>1398.25</v>
      </c>
      <c r="F192" s="569" t="n">
        <v>1666.54</v>
      </c>
      <c r="G192" s="569" t="n">
        <v>1980.18</v>
      </c>
      <c r="H192" s="569" t="n">
        <v>2263.07</v>
      </c>
      <c r="I192" s="569" t="n">
        <v>2606.14</v>
      </c>
      <c r="J192" s="569" t="n">
        <v>3146</v>
      </c>
      <c r="K192" s="569" t="n">
        <v>3636.88</v>
      </c>
    </row>
    <row r="193">
      <c r="A193" s="263" t="inlineStr">
        <is>
          <t>Tangible Total Equity</t>
        </is>
      </c>
      <c r="B193" s="570" t="n">
        <v>-145.96</v>
      </c>
      <c r="C193" s="570" t="n">
        <v>-184.87</v>
      </c>
      <c r="D193" s="570" t="n">
        <v>-371.09</v>
      </c>
      <c r="E193" s="570" t="n">
        <v>-118.18</v>
      </c>
      <c r="F193" s="570" t="n">
        <v>-124.74</v>
      </c>
      <c r="G193" s="265" t="n">
        <v>48.4</v>
      </c>
      <c r="H193" s="569" t="n">
        <v>264.24</v>
      </c>
      <c r="I193" s="569" t="n">
        <v>242.55</v>
      </c>
      <c r="J193" s="570" t="n">
        <v>-1438.46</v>
      </c>
      <c r="K193" s="570" t="n">
        <v>-1017.66</v>
      </c>
    </row>
    <row r="194">
      <c r="A194" s="263" t="inlineStr">
        <is>
          <t>Tangible Book Value</t>
        </is>
      </c>
      <c r="B194" s="570" t="n">
        <v>-229.37</v>
      </c>
      <c r="C194" s="570" t="n">
        <v>-269.2</v>
      </c>
      <c r="D194" s="570" t="n">
        <v>-458.31</v>
      </c>
      <c r="E194" s="570" t="n">
        <v>-222.94</v>
      </c>
      <c r="F194" s="570" t="n">
        <v>-152.85</v>
      </c>
      <c r="G194" s="265" t="n">
        <v>17.97</v>
      </c>
      <c r="H194" s="569" t="n">
        <v>230.37</v>
      </c>
      <c r="I194" s="569" t="n">
        <v>200.38</v>
      </c>
      <c r="J194" s="570" t="n">
        <v>-1485.61</v>
      </c>
      <c r="K194" s="570" t="n">
        <v>-1078.19</v>
      </c>
    </row>
    <row r="195">
      <c r="A195" s="263" t="inlineStr">
        <is>
          <t>Total Book Capital</t>
        </is>
      </c>
      <c r="B195" s="569" t="n">
        <v>1177.46</v>
      </c>
      <c r="C195" s="569" t="n">
        <v>1421.6</v>
      </c>
      <c r="D195" s="569" t="n">
        <v>1835.06</v>
      </c>
      <c r="E195" s="569" t="n">
        <v>1930.72</v>
      </c>
      <c r="F195" s="569" t="n">
        <v>2228.5</v>
      </c>
      <c r="G195" s="569" t="n">
        <v>2720.01</v>
      </c>
      <c r="H195" s="569" t="n">
        <v>2499.57</v>
      </c>
      <c r="I195" s="569" t="n">
        <v>2896.41</v>
      </c>
      <c r="J195" s="569" t="n">
        <v>5624.07</v>
      </c>
      <c r="K195" s="569" t="n">
        <v>5866.25</v>
      </c>
    </row>
    <row r="196">
      <c r="A196" s="263" t="inlineStr">
        <is>
          <t>Total Capital</t>
        </is>
      </c>
      <c r="B196" s="569" t="n">
        <v>1352.15</v>
      </c>
      <c r="C196" s="569" t="n">
        <v>1605.44</v>
      </c>
      <c r="D196" s="569" t="n">
        <v>2053.39</v>
      </c>
      <c r="E196" s="569" t="n">
        <v>2167.52</v>
      </c>
      <c r="F196" s="569" t="n">
        <v>2444.88</v>
      </c>
      <c r="G196" s="569" t="n">
        <v>2971.65</v>
      </c>
      <c r="H196" s="569" t="n">
        <v>2786.02</v>
      </c>
      <c r="I196" s="569" t="n">
        <v>3266.18</v>
      </c>
      <c r="J196" s="569" t="n">
        <v>6036.04</v>
      </c>
      <c r="K196" s="569" t="n">
        <v>6292.94</v>
      </c>
    </row>
    <row r="197">
      <c r="A197" s="263" t="inlineStr">
        <is>
          <t>Total Long Term Capital</t>
        </is>
      </c>
      <c r="B197" s="569" t="n">
        <v>1476.72</v>
      </c>
      <c r="C197" s="569" t="n">
        <v>1684.48</v>
      </c>
      <c r="D197" s="569" t="n">
        <v>2131.87</v>
      </c>
      <c r="E197" s="569" t="n">
        <v>2238.92</v>
      </c>
      <c r="F197" s="569" t="n">
        <v>2491.81</v>
      </c>
      <c r="G197" s="569" t="n">
        <v>3085.34</v>
      </c>
      <c r="H197" s="569" t="n">
        <v>2950.94</v>
      </c>
      <c r="I197" s="569" t="n">
        <v>3347.04</v>
      </c>
      <c r="J197" s="569" t="n">
        <v>6164.91</v>
      </c>
      <c r="K197" s="569" t="n">
        <v>6562.82</v>
      </c>
    </row>
    <row r="198">
      <c r="A198" s="263" t="inlineStr">
        <is>
          <t>Total Fixed Assets - Net</t>
        </is>
      </c>
      <c r="B198" s="569" t="n">
        <v>466.14</v>
      </c>
      <c r="C198" s="569" t="n">
        <v>589.54</v>
      </c>
      <c r="D198" s="569" t="n">
        <v>799.23</v>
      </c>
      <c r="E198" s="569" t="n">
        <v>804.76</v>
      </c>
      <c r="F198" s="569" t="n">
        <v>886.78</v>
      </c>
      <c r="G198" s="569" t="n">
        <v>998.92</v>
      </c>
      <c r="H198" s="569" t="n">
        <v>1110.63</v>
      </c>
      <c r="I198" s="569" t="n">
        <v>1270.34</v>
      </c>
      <c r="J198" s="569" t="n">
        <v>2065.39</v>
      </c>
      <c r="K198" s="569" t="n">
        <v>2150.24</v>
      </c>
    </row>
    <row r="199">
      <c r="A199" s="263" t="inlineStr">
        <is>
          <t>Unearned Revenue - Total</t>
        </is>
      </c>
      <c r="B199" s="269" t="n"/>
      <c r="C199" s="265" t="n">
        <v>32.14</v>
      </c>
      <c r="D199" s="265" t="n">
        <v>29.25</v>
      </c>
      <c r="E199" s="269" t="n"/>
      <c r="F199" s="265" t="n">
        <v>23.81</v>
      </c>
      <c r="G199" s="265" t="n">
        <v>25.63</v>
      </c>
      <c r="H199" s="265" t="n">
        <v>32.74</v>
      </c>
      <c r="I199" s="265" t="n">
        <v>58.76</v>
      </c>
      <c r="J199" s="265" t="n">
        <v>87.56</v>
      </c>
      <c r="K199" s="569" t="n">
        <v>145.75</v>
      </c>
    </row>
    <row r="200">
      <c r="A200" s="263" t="inlineStr">
        <is>
          <t>Working Capital</t>
        </is>
      </c>
      <c r="B200" s="569" t="n">
        <v>335.23</v>
      </c>
      <c r="C200" s="569" t="n">
        <v>328.74</v>
      </c>
      <c r="D200" s="569" t="n">
        <v>382.46</v>
      </c>
      <c r="E200" s="569" t="n">
        <v>451.38</v>
      </c>
      <c r="F200" s="569" t="n">
        <v>524.59</v>
      </c>
      <c r="G200" s="569" t="n">
        <v>924.46</v>
      </c>
      <c r="H200" s="569" t="n">
        <v>642.51</v>
      </c>
      <c r="I200" s="569" t="n">
        <v>731.87</v>
      </c>
      <c r="J200" s="569" t="n">
        <v>1190</v>
      </c>
      <c r="K200" s="569" t="n">
        <v>1398.44</v>
      </c>
    </row>
    <row r="201">
      <c r="A201" s="263" t="inlineStr">
        <is>
          <t>Working Capital - Non-Cash</t>
        </is>
      </c>
      <c r="B201" s="569" t="n">
        <v>301.62</v>
      </c>
      <c r="C201" s="569" t="n">
        <v>285.78</v>
      </c>
      <c r="D201" s="569" t="n">
        <v>330.39</v>
      </c>
      <c r="E201" s="569" t="n">
        <v>391.78</v>
      </c>
      <c r="F201" s="569" t="n">
        <v>467.59</v>
      </c>
      <c r="G201" s="569" t="n">
        <v>517.61</v>
      </c>
      <c r="H201" s="569" t="n">
        <v>534.21</v>
      </c>
      <c r="I201" s="569" t="n">
        <v>592.37</v>
      </c>
      <c r="J201" s="569" t="n">
        <v>1018.95</v>
      </c>
      <c r="K201" s="569" t="n">
        <v>1236.34</v>
      </c>
    </row>
    <row r="202" ht="42" customHeight="1">
      <c r="A202" s="263" t="inlineStr">
        <is>
          <t>Working Capital excluding Other Current Assets &amp; Liabilities</t>
        </is>
      </c>
      <c r="B202" s="569" t="n">
        <v>299.7</v>
      </c>
      <c r="C202" s="569" t="n">
        <v>378.33</v>
      </c>
      <c r="D202" s="569" t="n">
        <v>431.56</v>
      </c>
      <c r="E202" s="269" t="n"/>
      <c r="F202" s="569" t="n">
        <v>572.47</v>
      </c>
      <c r="G202" s="569" t="n">
        <v>973.65</v>
      </c>
      <c r="H202" s="569" t="n">
        <v>701.05</v>
      </c>
      <c r="I202" s="569" t="n">
        <v>829.79</v>
      </c>
      <c r="J202" s="569" t="n">
        <v>1340.17</v>
      </c>
      <c r="K202" s="569" t="n">
        <v>1490.78</v>
      </c>
    </row>
    <row r="203" ht="28" customHeight="1">
      <c r="A203" s="263" t="inlineStr">
        <is>
          <t>Book Value excluding Other Equity</t>
        </is>
      </c>
      <c r="B203" s="569" t="n">
        <v>811.65</v>
      </c>
      <c r="C203" s="569" t="n">
        <v>965.84</v>
      </c>
      <c r="D203" s="569" t="n">
        <v>1164.2</v>
      </c>
      <c r="E203" s="569" t="n">
        <v>1402.18</v>
      </c>
      <c r="F203" s="569" t="n">
        <v>1670.77</v>
      </c>
      <c r="G203" s="569" t="n">
        <v>1985.06</v>
      </c>
      <c r="H203" s="569" t="n">
        <v>2268.37</v>
      </c>
      <c r="I203" s="569" t="n">
        <v>2611.43</v>
      </c>
      <c r="J203" s="569" t="n">
        <v>3152.31</v>
      </c>
      <c r="K203" s="569" t="n">
        <v>3644.15</v>
      </c>
    </row>
    <row r="204" ht="42" customHeight="1">
      <c r="A204" s="263" t="inlineStr">
        <is>
          <t>Total Indefinite-lived Intangible Assets - Net (excl Goodwill) - Supplemental</t>
        </is>
      </c>
      <c r="B204" s="269" t="n"/>
      <c r="C204" s="269" t="n"/>
      <c r="D204" s="269" t="n"/>
      <c r="E204" s="269" t="n"/>
      <c r="F204" s="269" t="n"/>
      <c r="G204" s="269" t="n"/>
      <c r="H204" s="269" t="n"/>
      <c r="I204" s="269" t="n"/>
      <c r="J204" s="269" t="n"/>
      <c r="K204" s="569" t="n">
        <v>293.26</v>
      </c>
    </row>
    <row r="205">
      <c r="A205" s="263" t="inlineStr">
        <is>
          <t>Order Backlog</t>
        </is>
      </c>
      <c r="B205" s="569" t="n">
        <v>349</v>
      </c>
      <c r="C205" s="569" t="n">
        <v>497</v>
      </c>
      <c r="D205" s="569" t="n">
        <v>654</v>
      </c>
      <c r="E205" s="569" t="n">
        <v>783</v>
      </c>
      <c r="F205" s="569" t="n">
        <v>900</v>
      </c>
      <c r="G205" s="569" t="n">
        <v>844</v>
      </c>
      <c r="H205" s="569" t="n">
        <v>977</v>
      </c>
      <c r="I205" s="569" t="n">
        <v>1383</v>
      </c>
      <c r="J205" s="569" t="n">
        <v>1863</v>
      </c>
      <c r="K205" s="569" t="n">
        <v>1924.5</v>
      </c>
    </row>
    <row r="206">
      <c r="A206" s="261" t="inlineStr">
        <is>
          <t>Shareholders</t>
        </is>
      </c>
      <c r="B206" s="262" t="n"/>
      <c r="C206" s="262" t="n"/>
      <c r="D206" s="262" t="n"/>
      <c r="E206" s="262" t="n"/>
      <c r="F206" s="262" t="n"/>
      <c r="G206" s="262" t="n"/>
      <c r="H206" s="262" t="n"/>
      <c r="I206" s="262" t="n"/>
      <c r="J206" s="262" t="n"/>
      <c r="K206" s="262" t="n"/>
    </row>
    <row r="207" ht="28" customHeight="1">
      <c r="A207" s="263" t="inlineStr">
        <is>
          <t>Common Shareholders - Number</t>
        </is>
      </c>
      <c r="B207" s="269" t="n"/>
      <c r="C207" s="569" t="n">
        <v>712</v>
      </c>
      <c r="D207" s="569" t="n">
        <v>670</v>
      </c>
      <c r="E207" s="569" t="n">
        <v>638</v>
      </c>
      <c r="F207" s="569" t="n">
        <v>618</v>
      </c>
      <c r="G207" s="569" t="n">
        <v>596</v>
      </c>
      <c r="H207" s="569" t="n">
        <v>570</v>
      </c>
      <c r="I207" s="569" t="n">
        <v>555</v>
      </c>
      <c r="J207" s="569" t="n">
        <v>265</v>
      </c>
      <c r="K207" s="569" t="n">
        <v>247</v>
      </c>
    </row>
    <row r="208">
      <c r="A208" s="261" t="inlineStr">
        <is>
          <t>Operating Lease Maturity</t>
        </is>
      </c>
      <c r="B208" s="262" t="n"/>
      <c r="C208" s="262" t="n"/>
      <c r="D208" s="262" t="n"/>
      <c r="E208" s="262" t="n"/>
      <c r="F208" s="262" t="n"/>
      <c r="G208" s="262" t="n"/>
      <c r="H208" s="262" t="n"/>
      <c r="I208" s="262" t="n"/>
      <c r="J208" s="262" t="n"/>
      <c r="K208" s="262" t="n"/>
    </row>
    <row r="209" ht="28" customHeight="1">
      <c r="A209" s="263" t="inlineStr">
        <is>
          <t>Operating Lease Payments - Total</t>
        </is>
      </c>
      <c r="B209" s="265" t="n">
        <v>36.72</v>
      </c>
      <c r="C209" s="265" t="n">
        <v>56.85</v>
      </c>
      <c r="D209" s="265" t="n">
        <v>74.13</v>
      </c>
      <c r="E209" s="265" t="n">
        <v>81.98999999999999</v>
      </c>
      <c r="F209" s="265" t="n">
        <v>76.95</v>
      </c>
      <c r="G209" s="265" t="n">
        <v>58.29</v>
      </c>
      <c r="H209" s="265" t="n">
        <v>75.7</v>
      </c>
      <c r="I209" s="265" t="n">
        <v>91.62</v>
      </c>
      <c r="J209" s="569" t="n">
        <v>125.26</v>
      </c>
      <c r="K209" s="569" t="n">
        <v>136.88</v>
      </c>
    </row>
    <row r="210" ht="28" customHeight="1">
      <c r="A210" s="266" t="inlineStr">
        <is>
          <t>Operating Lease Payments - Due in Year 1</t>
        </is>
      </c>
      <c r="B210" s="265" t="n">
        <v>10.53</v>
      </c>
      <c r="C210" s="265" t="n">
        <v>11.79</v>
      </c>
      <c r="D210" s="265" t="n">
        <v>13.4</v>
      </c>
      <c r="E210" s="265" t="n">
        <v>14.96</v>
      </c>
      <c r="F210" s="265" t="n">
        <v>15.51</v>
      </c>
      <c r="G210" s="265" t="n">
        <v>16.55</v>
      </c>
      <c r="H210" s="265" t="n">
        <v>16.85</v>
      </c>
      <c r="I210" s="265" t="n">
        <v>18.93</v>
      </c>
      <c r="J210" s="265" t="n">
        <v>27.03</v>
      </c>
      <c r="K210" s="265" t="n">
        <v>31.15</v>
      </c>
    </row>
    <row r="211" ht="28" customHeight="1">
      <c r="A211" s="266" t="inlineStr">
        <is>
          <t>Operating Lease Payments - Due in Year 2</t>
        </is>
      </c>
      <c r="B211" s="265" t="n">
        <v>8.199999999999999</v>
      </c>
      <c r="C211" s="265" t="n">
        <v>8.58</v>
      </c>
      <c r="D211" s="265" t="n">
        <v>12.25</v>
      </c>
      <c r="E211" s="265" t="n">
        <v>14.99</v>
      </c>
      <c r="F211" s="265" t="n">
        <v>15.56</v>
      </c>
      <c r="G211" s="265" t="n">
        <v>15.23</v>
      </c>
      <c r="H211" s="265" t="n">
        <v>12.73</v>
      </c>
      <c r="I211" s="265" t="n">
        <v>17.55</v>
      </c>
      <c r="J211" s="265" t="n">
        <v>26.88</v>
      </c>
      <c r="K211" s="265" t="n">
        <v>28.65</v>
      </c>
    </row>
    <row r="212" ht="28" customHeight="1">
      <c r="A212" s="266" t="inlineStr">
        <is>
          <t>Operating Lease Payments - Due in Year 3</t>
        </is>
      </c>
      <c r="B212" s="265" t="n">
        <v>4.48</v>
      </c>
      <c r="C212" s="265" t="n">
        <v>6.49</v>
      </c>
      <c r="D212" s="265" t="n">
        <v>11.75</v>
      </c>
      <c r="E212" s="265" t="n">
        <v>14.15</v>
      </c>
      <c r="F212" s="265" t="n">
        <v>13.81</v>
      </c>
      <c r="G212" s="265" t="n">
        <v>9.16</v>
      </c>
      <c r="H212" s="265" t="n">
        <v>9.789999999999999</v>
      </c>
      <c r="I212" s="265" t="n">
        <v>16.24</v>
      </c>
      <c r="J212" s="265" t="n">
        <v>22.98</v>
      </c>
      <c r="K212" s="265" t="n">
        <v>25.01</v>
      </c>
    </row>
    <row r="213" ht="28" customHeight="1">
      <c r="A213" s="266" t="inlineStr">
        <is>
          <t>Operating Lease Payments - Due in Year 4</t>
        </is>
      </c>
      <c r="B213" s="265" t="n">
        <v>2.51</v>
      </c>
      <c r="C213" s="265" t="n">
        <v>6.06</v>
      </c>
      <c r="D213" s="265" t="n">
        <v>10.9</v>
      </c>
      <c r="E213" s="265" t="n">
        <v>12.55</v>
      </c>
      <c r="F213" s="265" t="n">
        <v>8.52</v>
      </c>
      <c r="G213" s="265" t="n">
        <v>5.33</v>
      </c>
      <c r="H213" s="265" t="n">
        <v>8.66</v>
      </c>
      <c r="I213" s="265" t="n">
        <v>12.94</v>
      </c>
      <c r="J213" s="265" t="n">
        <v>19.34</v>
      </c>
      <c r="K213" s="265" t="n">
        <v>19.25</v>
      </c>
    </row>
    <row r="214" ht="28" customHeight="1">
      <c r="A214" s="266" t="inlineStr">
        <is>
          <t>Operating Lease Payments - Due in Year 5</t>
        </is>
      </c>
      <c r="B214" s="265" t="n">
        <v>2.06</v>
      </c>
      <c r="C214" s="265" t="n">
        <v>5.93</v>
      </c>
      <c r="D214" s="265" t="n">
        <v>9.76</v>
      </c>
      <c r="E214" s="265" t="n">
        <v>7.33</v>
      </c>
      <c r="F214" s="265" t="n">
        <v>4.74</v>
      </c>
      <c r="G214" s="265" t="n">
        <v>4.51</v>
      </c>
      <c r="H214" s="265" t="n">
        <v>7.15</v>
      </c>
      <c r="I214" s="265" t="n">
        <v>9.859999999999999</v>
      </c>
      <c r="J214" s="265" t="n">
        <v>13.74</v>
      </c>
      <c r="K214" s="265" t="n">
        <v>14.84</v>
      </c>
    </row>
    <row r="215" ht="28" customHeight="1">
      <c r="A215" s="266" t="inlineStr">
        <is>
          <t>Operating Lease Payments - Remaining Maturities</t>
        </is>
      </c>
      <c r="B215" s="265" t="n">
        <v>8.94</v>
      </c>
      <c r="C215" s="265" t="n">
        <v>18</v>
      </c>
      <c r="D215" s="265" t="n">
        <v>16.07</v>
      </c>
      <c r="E215" s="265" t="n">
        <v>18.01</v>
      </c>
      <c r="F215" s="265" t="n">
        <v>18.81</v>
      </c>
      <c r="G215" s="265" t="n">
        <v>20.01</v>
      </c>
      <c r="H215" s="265" t="n">
        <v>39.11</v>
      </c>
      <c r="I215" s="265" t="n">
        <v>37.31</v>
      </c>
      <c r="J215" s="265" t="n">
        <v>44.34</v>
      </c>
      <c r="K215" s="265" t="n">
        <v>54.52</v>
      </c>
    </row>
    <row r="216" ht="42" customHeight="1">
      <c r="A216" s="266" t="inlineStr">
        <is>
          <t>Operating Lease Payments - Interest Cost/Imputed Interest</t>
        </is>
      </c>
      <c r="B216" s="269" t="n"/>
      <c r="C216" s="269" t="n"/>
      <c r="D216" s="269" t="n"/>
      <c r="E216" s="269" t="n"/>
      <c r="F216" s="269" t="n"/>
      <c r="G216" s="265" t="n">
        <v>12.48</v>
      </c>
      <c r="H216" s="265" t="n">
        <v>18.59</v>
      </c>
      <c r="I216" s="265" t="n">
        <v>21.2</v>
      </c>
      <c r="J216" s="265" t="n">
        <v>29.06</v>
      </c>
      <c r="K216" s="265" t="n">
        <v>36.53</v>
      </c>
    </row>
    <row r="217" ht="28" customHeight="1">
      <c r="A217" s="263" t="inlineStr">
        <is>
          <t>Operating Lease Payments - Due in 2-3 Years</t>
        </is>
      </c>
      <c r="B217" s="265" t="n">
        <v>12.68</v>
      </c>
      <c r="C217" s="265" t="n">
        <v>15.07</v>
      </c>
      <c r="D217" s="265" t="n">
        <v>24</v>
      </c>
      <c r="E217" s="265" t="n">
        <v>29.14</v>
      </c>
      <c r="F217" s="265" t="n">
        <v>29.37</v>
      </c>
      <c r="G217" s="265" t="n">
        <v>24.39</v>
      </c>
      <c r="H217" s="265" t="n">
        <v>22.51</v>
      </c>
      <c r="I217" s="265" t="n">
        <v>33.79</v>
      </c>
      <c r="J217" s="265" t="n">
        <v>49.86</v>
      </c>
      <c r="K217" s="265" t="n">
        <v>53.65</v>
      </c>
    </row>
    <row r="218" ht="28" customHeight="1">
      <c r="A218" s="263" t="inlineStr">
        <is>
          <t>Operating Lease Payments - Due in 4-5 Years</t>
        </is>
      </c>
      <c r="B218" s="265" t="n">
        <v>4.57</v>
      </c>
      <c r="C218" s="265" t="n">
        <v>12</v>
      </c>
      <c r="D218" s="265" t="n">
        <v>20.66</v>
      </c>
      <c r="E218" s="265" t="n">
        <v>19.88</v>
      </c>
      <c r="F218" s="265" t="n">
        <v>13.26</v>
      </c>
      <c r="G218" s="265" t="n">
        <v>9.83</v>
      </c>
      <c r="H218" s="265" t="n">
        <v>15.82</v>
      </c>
      <c r="I218" s="265" t="n">
        <v>22.8</v>
      </c>
      <c r="J218" s="265" t="n">
        <v>33.09</v>
      </c>
      <c r="K218" s="265" t="n">
        <v>34.09</v>
      </c>
    </row>
    <row r="219" ht="28" customHeight="1">
      <c r="A219" s="263" t="inlineStr">
        <is>
          <t>Operating Lease Payments - Due in Year 6 &amp; Beyond</t>
        </is>
      </c>
      <c r="B219" s="265" t="n">
        <v>8.94</v>
      </c>
      <c r="C219" s="265" t="n">
        <v>18</v>
      </c>
      <c r="D219" s="265" t="n">
        <v>16.07</v>
      </c>
      <c r="E219" s="265" t="n">
        <v>18.01</v>
      </c>
      <c r="F219" s="265" t="n">
        <v>18.81</v>
      </c>
      <c r="G219" s="265" t="n">
        <v>20.01</v>
      </c>
      <c r="H219" s="265" t="n">
        <v>39.11</v>
      </c>
      <c r="I219" s="265" t="n">
        <v>37.31</v>
      </c>
      <c r="J219" s="265" t="n">
        <v>44.34</v>
      </c>
      <c r="K219" s="265" t="n">
        <v>54.52</v>
      </c>
    </row>
    <row r="220">
      <c r="A220" s="261" t="inlineStr">
        <is>
          <t>Employees</t>
        </is>
      </c>
      <c r="B220" s="262" t="n"/>
      <c r="C220" s="262" t="n"/>
      <c r="D220" s="262" t="n"/>
      <c r="E220" s="262" t="n"/>
      <c r="F220" s="262" t="n"/>
      <c r="G220" s="262" t="n"/>
      <c r="H220" s="262" t="n"/>
      <c r="I220" s="262" t="n"/>
      <c r="J220" s="262" t="n"/>
      <c r="K220" s="262" t="n"/>
    </row>
    <row r="221" ht="28" customHeight="1">
      <c r="A221" s="263" t="inlineStr">
        <is>
          <t>Employees - Full-Time/Full-Time Equivalents - Period End</t>
        </is>
      </c>
      <c r="B221" s="569" t="n">
        <v>4600</v>
      </c>
      <c r="C221" s="569" t="n">
        <v>4700</v>
      </c>
      <c r="D221" s="569" t="n">
        <v>5100</v>
      </c>
      <c r="E221" s="569" t="n">
        <v>5400</v>
      </c>
      <c r="F221" s="569" t="n">
        <v>5900</v>
      </c>
      <c r="G221" s="569" t="n">
        <v>5200</v>
      </c>
      <c r="H221" s="569" t="n">
        <v>5600</v>
      </c>
      <c r="I221" s="569" t="n">
        <v>6500</v>
      </c>
      <c r="J221" s="569" t="n">
        <v>9600</v>
      </c>
      <c r="K221" s="265" t="n">
        <v>10000</v>
      </c>
    </row>
    <row r="222" ht="42" customHeight="1">
      <c r="A222" s="263" t="inlineStr">
        <is>
          <t>Employees - Full-Time/Full-Time Equivalents - Current Date</t>
        </is>
      </c>
      <c r="B222" s="569" t="n">
        <v>4600</v>
      </c>
      <c r="C222" s="569" t="n">
        <v>4700</v>
      </c>
      <c r="D222" s="569" t="n">
        <v>5100</v>
      </c>
      <c r="E222" s="569" t="n">
        <v>5400</v>
      </c>
      <c r="F222" s="569" t="n">
        <v>5900</v>
      </c>
      <c r="G222" s="569" t="n">
        <v>5200</v>
      </c>
      <c r="H222" s="569" t="n">
        <v>5600</v>
      </c>
      <c r="I222" s="569" t="n">
        <v>6500</v>
      </c>
      <c r="J222" s="569" t="n">
        <v>9600</v>
      </c>
      <c r="K222" s="265" t="n">
        <v>10000</v>
      </c>
    </row>
  </sheetData>
  <mergeCells count="50">
    <mergeCell ref="H13"/>
    <mergeCell ref="K14"/>
    <mergeCell ref="D12"/>
    <mergeCell ref="H12"/>
    <mergeCell ref="B15"/>
    <mergeCell ref="J12"/>
    <mergeCell ref="D15"/>
    <mergeCell ref="H15"/>
    <mergeCell ref="D14"/>
    <mergeCell ref="C13"/>
    <mergeCell ref="I13"/>
    <mergeCell ref="H14"/>
    <mergeCell ref="F14"/>
    <mergeCell ref="K13"/>
    <mergeCell ref="E12"/>
    <mergeCell ref="G12"/>
    <mergeCell ref="C15"/>
    <mergeCell ref="F11"/>
    <mergeCell ref="I15"/>
    <mergeCell ref="J14"/>
    <mergeCell ref="G11"/>
    <mergeCell ref="K15"/>
    <mergeCell ref="I11"/>
    <mergeCell ref="C14"/>
    <mergeCell ref="E14"/>
    <mergeCell ref="J13"/>
    <mergeCell ref="B12"/>
    <mergeCell ref="F12"/>
    <mergeCell ref="B11"/>
    <mergeCell ref="F15"/>
    <mergeCell ref="K11"/>
    <mergeCell ref="D11"/>
    <mergeCell ref="J15"/>
    <mergeCell ref="D13"/>
    <mergeCell ref="B14"/>
    <mergeCell ref="E13"/>
    <mergeCell ref="G13"/>
    <mergeCell ref="F13"/>
    <mergeCell ref="B13"/>
    <mergeCell ref="C12"/>
    <mergeCell ref="I12"/>
    <mergeCell ref="K12"/>
    <mergeCell ref="E15"/>
    <mergeCell ref="H11"/>
    <mergeCell ref="C11"/>
    <mergeCell ref="J11"/>
    <mergeCell ref="G15"/>
    <mergeCell ref="E11"/>
    <mergeCell ref="G14"/>
    <mergeCell ref="I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57"/>
  <sheetViews>
    <sheetView showGridLines="0" zoomScale="131" workbookViewId="0">
      <selection activeCell="A1" sqref="A1"/>
    </sheetView>
  </sheetViews>
  <sheetFormatPr baseColWidth="10" defaultColWidth="14.5" defaultRowHeight="15" customHeight="1"/>
  <cols>
    <col width="10.83203125" customWidth="1" min="1" max="1"/>
    <col width="75" customWidth="1" min="2" max="2"/>
    <col hidden="1" width="10.83203125" customWidth="1" min="3" max="7"/>
    <col width="10.83203125" customWidth="1" min="8" max="17"/>
  </cols>
  <sheetData>
    <row r="1" ht="29" customHeight="1">
      <c r="A1" s="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5" t="inlineStr">
        <is>
          <t>x</t>
        </is>
      </c>
      <c r="B4" s="28" t="inlineStr">
        <is>
          <t>Cash Flow Statement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" t="n"/>
    </row>
    <row r="5">
      <c r="A5" s="5" t="n"/>
      <c r="B5" s="1" t="inlineStr">
        <is>
          <t>in $millions, unless otherwise specified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5" t="n"/>
      <c r="B6" s="1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5" t="n"/>
      <c r="B7" s="1" t="inlineStr">
        <is>
          <t xml:space="preserve">Fiscal year ending December 31, </t>
        </is>
      </c>
      <c r="C7" s="574">
        <f>2015</f>
        <v/>
      </c>
      <c r="D7" s="574">
        <f>C7+1</f>
        <v/>
      </c>
      <c r="E7" s="574">
        <f>D7+1</f>
        <v/>
      </c>
      <c r="F7" s="574">
        <f>E7+1</f>
        <v/>
      </c>
      <c r="G7" s="574">
        <f>F7+1</f>
        <v/>
      </c>
      <c r="H7" s="574">
        <f>G7+1</f>
        <v/>
      </c>
      <c r="I7" s="574">
        <f>H7+1</f>
        <v/>
      </c>
      <c r="J7" s="575">
        <f>I7+1</f>
        <v/>
      </c>
      <c r="K7" s="576">
        <f>J7+1</f>
        <v/>
      </c>
      <c r="L7" s="576">
        <f>K7+1</f>
        <v/>
      </c>
      <c r="M7" s="576">
        <f>L7+1</f>
        <v/>
      </c>
      <c r="N7" s="576">
        <f>M7+1</f>
        <v/>
      </c>
      <c r="O7" s="576">
        <f>N7+1</f>
        <v/>
      </c>
      <c r="P7" s="576">
        <f>O7+1</f>
        <v/>
      </c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7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577" t="inlineStr">
        <is>
          <t>CFO</t>
        </is>
      </c>
      <c r="C9" s="2" t="n"/>
      <c r="D9" s="2" t="n"/>
      <c r="E9" s="2" t="n"/>
      <c r="F9" s="2" t="n"/>
      <c r="G9" s="2" t="n"/>
      <c r="H9" s="2" t="n"/>
      <c r="I9" s="2" t="n"/>
      <c r="J9" s="7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578" t="inlineStr">
        <is>
          <t>Net income</t>
        </is>
      </c>
      <c r="C10" s="579" t="n">
        <v>11.768</v>
      </c>
      <c r="D10" s="579" t="n">
        <v>10.154</v>
      </c>
      <c r="E10" s="579" t="n">
        <v>29.251</v>
      </c>
      <c r="F10" s="579" t="n">
        <v>21.524</v>
      </c>
      <c r="G10" s="579" t="n">
        <v>53.33</v>
      </c>
      <c r="H10" s="579" t="n">
        <v>8.093999999999999</v>
      </c>
      <c r="I10" s="579">
        <f>IS!I33</f>
        <v/>
      </c>
      <c r="J10" s="579">
        <f>IS!J33</f>
        <v/>
      </c>
      <c r="K10" s="580">
        <f>IS!K33</f>
        <v/>
      </c>
      <c r="L10" s="580">
        <f>IS!L33</f>
        <v/>
      </c>
      <c r="M10" s="580">
        <f>IS!M33</f>
        <v/>
      </c>
      <c r="N10" s="580">
        <f>IS!N33</f>
        <v/>
      </c>
      <c r="O10" s="580">
        <f>IS!O33</f>
        <v/>
      </c>
      <c r="P10" s="580">
        <f>IS!P33</f>
        <v/>
      </c>
      <c r="Q10" s="8" t="n"/>
    </row>
    <row r="11">
      <c r="A11" s="2" t="n"/>
      <c r="B11" s="23" t="inlineStr">
        <is>
          <t>Changes in operating assets and liabilities, net of acquisitions:</t>
        </is>
      </c>
      <c r="C11" s="579" t="n">
        <v>0.276</v>
      </c>
      <c r="D11" s="579" t="n">
        <v>0.648</v>
      </c>
      <c r="E11" s="579" t="n">
        <v>0.453</v>
      </c>
      <c r="F11" s="579" t="n">
        <v>0.149</v>
      </c>
      <c r="G11" s="579" t="n">
        <v>1.17</v>
      </c>
      <c r="H11" s="579" t="n"/>
      <c r="I11" s="579" t="n">
        <v>-0.775</v>
      </c>
      <c r="J11" s="581" t="n">
        <v>1.156</v>
      </c>
      <c r="K11" s="580" t="n"/>
      <c r="L11" s="580" t="n"/>
      <c r="M11" s="580" t="n"/>
      <c r="N11" s="580" t="n"/>
      <c r="O11" s="580" t="n"/>
      <c r="P11" s="580" t="n"/>
      <c r="Q11" s="8" t="n"/>
    </row>
    <row r="12">
      <c r="A12" s="2" t="n"/>
      <c r="B12" s="20" t="inlineStr">
        <is>
          <t>Accounts receivable</t>
        </is>
      </c>
      <c r="C12" s="579" t="n">
        <v>1.559</v>
      </c>
      <c r="D12" s="579" t="n">
        <v>2.071</v>
      </c>
      <c r="E12" s="579" t="n">
        <v>2.055</v>
      </c>
      <c r="F12" s="579" t="n">
        <v>0.273</v>
      </c>
      <c r="G12" s="579" t="n">
        <v>-0.123</v>
      </c>
      <c r="H12" s="579" t="n">
        <v>-2.587</v>
      </c>
      <c r="I12" s="579" t="n">
        <v>2.494</v>
      </c>
      <c r="J12" s="2" t="n">
        <v>-1.029</v>
      </c>
      <c r="K12" s="580" t="n"/>
      <c r="L12" s="580" t="n"/>
      <c r="M12" s="580" t="n"/>
      <c r="N12" s="580" t="n"/>
      <c r="O12" s="580" t="n"/>
      <c r="P12" s="580" t="n"/>
      <c r="Q12" s="8" t="n"/>
    </row>
    <row r="13">
      <c r="A13" s="2" t="n"/>
      <c r="B13" s="20" t="inlineStr">
        <is>
          <t>Inventory</t>
        </is>
      </c>
      <c r="C13" s="579" t="n"/>
      <c r="D13" s="579" t="n"/>
      <c r="E13" s="579" t="n"/>
      <c r="F13" s="579" t="n">
        <v>3.319</v>
      </c>
      <c r="G13" s="579" t="n">
        <v>-3.272</v>
      </c>
      <c r="H13" s="579" t="n">
        <v>-55.275</v>
      </c>
      <c r="I13" s="579" t="n">
        <v>-0.008999999999999999</v>
      </c>
      <c r="J13" s="2" t="n">
        <v>-37.637</v>
      </c>
      <c r="K13" s="580" t="n"/>
      <c r="L13" s="580" t="n"/>
      <c r="M13" s="580" t="n"/>
      <c r="N13" s="580" t="n"/>
      <c r="O13" s="580" t="n"/>
      <c r="P13" s="580" t="n"/>
      <c r="Q13" s="8" t="n"/>
    </row>
    <row r="14">
      <c r="A14" s="2" t="n"/>
      <c r="B14" s="20" t="inlineStr">
        <is>
          <t>Deposits, prepaid expenses, and other current assets</t>
        </is>
      </c>
      <c r="C14" s="579" t="n"/>
      <c r="D14" s="579" t="n"/>
      <c r="E14" s="579" t="n"/>
      <c r="F14" s="579" t="n"/>
      <c r="G14" s="579" t="n"/>
      <c r="H14" s="579" t="n">
        <v>3.374</v>
      </c>
      <c r="I14" s="579" t="n">
        <v>0.448</v>
      </c>
      <c r="J14" s="2" t="n">
        <v>2.923</v>
      </c>
      <c r="K14" s="580" t="n"/>
      <c r="L14" s="580" t="n"/>
      <c r="M14" s="580" t="n"/>
      <c r="N14" s="580" t="n"/>
      <c r="O14" s="580" t="n"/>
      <c r="P14" s="580" t="n"/>
      <c r="Q14" s="8" t="n"/>
    </row>
    <row r="15">
      <c r="A15" s="2" t="n"/>
      <c r="B15" s="20" t="inlineStr">
        <is>
          <t>Deferred customer incentives and other assets</t>
        </is>
      </c>
      <c r="C15" s="579" t="n">
        <v>0.391</v>
      </c>
      <c r="D15" s="579" t="n">
        <v>0.786</v>
      </c>
      <c r="E15" s="579" t="n">
        <v>0.965</v>
      </c>
      <c r="F15" s="579" t="n">
        <v>0.9</v>
      </c>
      <c r="G15" s="579" t="n">
        <v>0.7</v>
      </c>
      <c r="H15" s="579" t="n">
        <v>0.056</v>
      </c>
      <c r="I15" s="579" t="n">
        <v>1.24</v>
      </c>
      <c r="J15" s="2" t="n">
        <v>0.893</v>
      </c>
      <c r="K15" s="580" t="n"/>
      <c r="L15" s="580" t="n"/>
      <c r="M15" s="580" t="n"/>
      <c r="N15" s="580" t="n"/>
      <c r="O15" s="580" t="n"/>
      <c r="P15" s="580" t="n"/>
      <c r="Q15" s="8" t="n"/>
    </row>
    <row r="16">
      <c r="A16" s="2" t="n"/>
      <c r="B16" s="20" t="inlineStr">
        <is>
          <t>Advance vendor payments</t>
        </is>
      </c>
      <c r="C16" s="579" t="n">
        <v>5.808</v>
      </c>
      <c r="D16" s="579" t="n">
        <v>6.49</v>
      </c>
      <c r="E16" s="579" t="n">
        <v>17.734</v>
      </c>
      <c r="F16" s="579" t="n">
        <v>21.721</v>
      </c>
      <c r="G16" s="579" t="n">
        <v>22.134</v>
      </c>
      <c r="H16" s="579" t="n">
        <v>-2.958</v>
      </c>
      <c r="I16" s="579" t="n">
        <v>29.715</v>
      </c>
      <c r="J16" s="2" t="n">
        <v>-13.298</v>
      </c>
      <c r="K16" s="580" t="n"/>
      <c r="L16" s="580" t="n"/>
      <c r="M16" s="580" t="n"/>
      <c r="N16" s="580" t="n"/>
      <c r="O16" s="580" t="n"/>
      <c r="P16" s="580" t="n"/>
      <c r="Q16" s="8" t="n"/>
    </row>
    <row r="17">
      <c r="A17" s="2" t="n"/>
      <c r="B17" s="20" t="inlineStr">
        <is>
          <t>Accounts payable</t>
        </is>
      </c>
      <c r="C17" s="579" t="n">
        <v>0.108</v>
      </c>
      <c r="D17" s="579" t="n">
        <v>0.103</v>
      </c>
      <c r="E17" s="579" t="n">
        <v>0.097</v>
      </c>
      <c r="F17" s="579" t="n">
        <v>0.108</v>
      </c>
      <c r="G17" s="579" t="n">
        <v>0.108</v>
      </c>
      <c r="H17" s="579" t="n">
        <v>-0.801</v>
      </c>
      <c r="I17" s="579" t="n">
        <v>15.823</v>
      </c>
      <c r="J17" s="2" t="n">
        <v>1.164</v>
      </c>
      <c r="K17" s="580" t="n"/>
      <c r="L17" s="580" t="n"/>
      <c r="M17" s="580" t="n"/>
      <c r="N17" s="580" t="n"/>
      <c r="O17" s="580" t="n"/>
      <c r="P17" s="580" t="n"/>
      <c r="Q17" s="8" t="n"/>
    </row>
    <row r="18">
      <c r="A18" s="2" t="n"/>
      <c r="B18" s="20" t="inlineStr">
        <is>
          <t>Income tax receivable</t>
        </is>
      </c>
      <c r="C18" s="579" t="n"/>
      <c r="D18" s="579" t="n"/>
      <c r="E18" s="579" t="n"/>
      <c r="F18" s="579" t="n"/>
      <c r="G18" s="579" t="n">
        <v>7.6</v>
      </c>
      <c r="H18" s="579" t="n">
        <v>0</v>
      </c>
      <c r="I18" s="579" t="n">
        <v>9.692</v>
      </c>
      <c r="J18" s="2" t="n">
        <v>0</v>
      </c>
      <c r="K18" s="580" t="n"/>
      <c r="L18" s="580" t="n"/>
      <c r="M18" s="580" t="n"/>
      <c r="N18" s="580" t="n"/>
      <c r="O18" s="580" t="n"/>
      <c r="P18" s="580" t="n"/>
      <c r="Q18" s="8" t="n"/>
    </row>
    <row r="19">
      <c r="A19" s="2" t="n"/>
      <c r="B19" s="20" t="inlineStr">
        <is>
          <t>Income tax payable</t>
        </is>
      </c>
      <c r="C19" s="579" t="n"/>
      <c r="D19" s="579" t="n"/>
      <c r="E19" s="579" t="n"/>
      <c r="F19" s="579" t="n"/>
      <c r="G19" s="579" t="n"/>
      <c r="H19" s="579" t="n">
        <v>1.324</v>
      </c>
      <c r="I19" s="579" t="n"/>
      <c r="J19" s="2" t="n">
        <v>-3.443</v>
      </c>
      <c r="K19" s="580" t="n"/>
      <c r="L19" s="580" t="n"/>
      <c r="M19" s="580" t="n"/>
      <c r="N19" s="580" t="n"/>
      <c r="O19" s="580" t="n"/>
      <c r="P19" s="580" t="n"/>
      <c r="Q19" s="8" t="n"/>
    </row>
    <row r="20">
      <c r="A20" s="2" t="n"/>
      <c r="B20" s="20" t="inlineStr">
        <is>
          <t>Accrued expenses</t>
        </is>
      </c>
      <c r="C20" s="579" t="n"/>
      <c r="D20" s="579" t="n"/>
      <c r="E20" s="579" t="n"/>
      <c r="F20" s="579" t="n"/>
      <c r="G20" s="579" t="n"/>
      <c r="H20" s="579" t="n">
        <v>-1.697</v>
      </c>
      <c r="I20" s="579" t="n"/>
      <c r="J20" s="2" t="n">
        <v>0.417</v>
      </c>
      <c r="K20" s="580" t="n"/>
      <c r="L20" s="580" t="n"/>
      <c r="M20" s="580" t="n"/>
      <c r="N20" s="580" t="n"/>
      <c r="O20" s="580" t="n"/>
      <c r="P20" s="580" t="n"/>
      <c r="Q20" s="8" t="n"/>
    </row>
    <row r="21" ht="15.75" customHeight="1">
      <c r="A21" s="2" t="n"/>
      <c r="B21" s="20" t="inlineStr">
        <is>
          <t>Deferred revenue</t>
        </is>
      </c>
      <c r="C21" s="579" t="n">
        <v>-3.552</v>
      </c>
      <c r="D21" s="579" t="n">
        <v>-4.837</v>
      </c>
      <c r="E21" s="579" t="n">
        <v>2.488</v>
      </c>
      <c r="F21" s="579" t="n">
        <v>-11.482</v>
      </c>
      <c r="G21" s="579" t="n">
        <v>2.599</v>
      </c>
      <c r="H21" s="579" t="n">
        <v>-5.894</v>
      </c>
      <c r="I21" s="579" t="n">
        <v>-10.115</v>
      </c>
      <c r="J21" s="2" t="n">
        <v>-1.505</v>
      </c>
      <c r="K21" s="580" t="n"/>
      <c r="L21" s="580" t="n"/>
      <c r="M21" s="580" t="n"/>
      <c r="N21" s="580" t="n"/>
      <c r="O21" s="580" t="n"/>
      <c r="P21" s="580" t="n"/>
      <c r="Q21" s="8" t="n"/>
    </row>
    <row r="22" ht="15.75" customHeight="1">
      <c r="A22" s="2" t="n"/>
      <c r="B22" s="20" t="inlineStr">
        <is>
          <t>Lessee and customer purchase deposits</t>
        </is>
      </c>
      <c r="C22" s="579" t="n"/>
      <c r="D22" s="579" t="n"/>
      <c r="E22" s="579" t="n"/>
      <c r="F22" s="579" t="n"/>
      <c r="G22" s="579" t="n"/>
      <c r="H22" s="579" t="n">
        <v>1.776</v>
      </c>
      <c r="I22" s="579" t="n"/>
      <c r="J22" s="2" t="n">
        <v>-18.027</v>
      </c>
      <c r="K22" s="580" t="n"/>
      <c r="L22" s="580" t="n"/>
      <c r="M22" s="580" t="n"/>
      <c r="N22" s="580" t="n"/>
      <c r="O22" s="580" t="n"/>
      <c r="P22" s="580" t="n"/>
      <c r="Q22" s="8" t="n"/>
    </row>
    <row r="23" ht="15.75" customHeight="1">
      <c r="A23" s="2" t="n"/>
      <c r="B23" s="20" t="inlineStr">
        <is>
          <t>Other liabilities</t>
        </is>
      </c>
      <c r="C23" s="579" t="n">
        <v>-0.47</v>
      </c>
      <c r="D23" s="579" t="n">
        <v>-0.23</v>
      </c>
      <c r="E23" s="579" t="n"/>
      <c r="F23" s="579" t="n"/>
      <c r="G23" s="579" t="n">
        <v>-0.198</v>
      </c>
      <c r="H23" s="579" t="n">
        <v>-0.957</v>
      </c>
      <c r="I23" s="579" t="n"/>
      <c r="J23" s="2" t="n">
        <v>-2.523</v>
      </c>
      <c r="K23" s="580" t="n"/>
      <c r="L23" s="580" t="n"/>
      <c r="M23" s="580" t="n"/>
      <c r="N23" s="580" t="n"/>
      <c r="O23" s="580" t="n"/>
      <c r="P23" s="580" t="n"/>
      <c r="Q23" s="8" t="n"/>
    </row>
    <row r="24" ht="15.75" customHeight="1">
      <c r="A24" s="2" t="n"/>
      <c r="B24" s="20" t="inlineStr">
        <is>
          <t>Maintenance deposit payments and other liabilities</t>
        </is>
      </c>
      <c r="C24" s="579" t="n"/>
      <c r="D24" s="579" t="n"/>
      <c r="E24" s="579" t="n"/>
      <c r="F24" s="579" t="n"/>
      <c r="G24" s="579" t="n"/>
      <c r="H24" s="579" t="n">
        <v>0</v>
      </c>
      <c r="I24" s="579" t="n"/>
      <c r="J24" s="2" t="n">
        <v>0</v>
      </c>
      <c r="K24" s="580" t="n"/>
      <c r="L24" s="580" t="n"/>
      <c r="M24" s="580" t="n"/>
      <c r="N24" s="580" t="n"/>
      <c r="O24" s="580" t="n"/>
      <c r="P24" s="580" t="n"/>
      <c r="Q24" s="8" t="n"/>
    </row>
    <row r="25" ht="15.75" customHeight="1">
      <c r="A25" s="2" t="n"/>
      <c r="B25" s="20" t="inlineStr">
        <is>
          <t>Net cash provided by operating activities</t>
        </is>
      </c>
      <c r="C25" s="579" t="n">
        <v>0.681</v>
      </c>
      <c r="D25" s="579" t="n">
        <v>0.081</v>
      </c>
      <c r="E25" s="579" t="n">
        <v>0.12</v>
      </c>
      <c r="F25" s="579" t="n"/>
      <c r="G25" s="579" t="n"/>
      <c r="H25" s="579" t="n">
        <v>0</v>
      </c>
      <c r="I25" s="579" t="n"/>
      <c r="J25" s="2" t="n">
        <v>0</v>
      </c>
      <c r="K25" s="580" t="n"/>
      <c r="L25" s="580" t="n"/>
      <c r="M25" s="580" t="n"/>
      <c r="N25" s="580" t="n"/>
      <c r="O25" s="580" t="n"/>
      <c r="P25" s="580" t="n"/>
      <c r="Q25" s="8" t="n"/>
    </row>
    <row r="26" ht="15.75" customHeight="1">
      <c r="A26" s="2" t="n"/>
      <c r="B26" s="23" t="inlineStr">
        <is>
          <t>Cash flows from investing activities:</t>
        </is>
      </c>
      <c r="C26" s="579" t="n">
        <v>3.347</v>
      </c>
      <c r="D26" s="579" t="n">
        <v>4.001</v>
      </c>
      <c r="E26" s="579" t="n">
        <v>7.413</v>
      </c>
      <c r="F26" s="579" t="n">
        <v>13.429</v>
      </c>
      <c r="G26" s="579" t="n">
        <v>20.603</v>
      </c>
      <c r="H26" s="579" t="n"/>
      <c r="I26" s="579" t="n">
        <v>38.694</v>
      </c>
      <c r="J26" s="2" t="n">
        <v>0</v>
      </c>
      <c r="K26" s="580" t="n"/>
      <c r="L26" s="580" t="n"/>
      <c r="M26" s="580" t="n"/>
      <c r="N26" s="580" t="n"/>
      <c r="O26" s="580" t="n"/>
      <c r="P26" s="580" t="n"/>
      <c r="Q26" s="8" t="n"/>
    </row>
    <row r="27" ht="15.75" customHeight="1">
      <c r="A27" s="2" t="n"/>
      <c r="B27" s="20" t="inlineStr">
        <is>
          <t>Business acquisitions</t>
        </is>
      </c>
      <c r="C27" s="579" t="n"/>
      <c r="D27" s="579" t="n"/>
      <c r="E27" s="579" t="n"/>
      <c r="F27" s="579" t="n"/>
      <c r="G27" s="579" t="n"/>
      <c r="H27" s="579" t="n">
        <v>-16.976</v>
      </c>
      <c r="I27" s="579" t="n">
        <v>0.185</v>
      </c>
      <c r="J27" s="2" t="n">
        <v>0</v>
      </c>
      <c r="K27" s="580" t="n"/>
      <c r="L27" s="580" t="n"/>
      <c r="M27" s="580" t="n"/>
      <c r="N27" s="580" t="n"/>
      <c r="O27" s="580" t="n"/>
      <c r="P27" s="580" t="n"/>
      <c r="Q27" s="8" t="n"/>
    </row>
    <row r="28" ht="15.75" customHeight="1">
      <c r="A28" s="2" t="n">
        <v>1000</v>
      </c>
      <c r="B28" s="20" t="inlineStr">
        <is>
          <t>Proceeds from sale of assets</t>
        </is>
      </c>
      <c r="C28" s="579" t="n"/>
      <c r="D28" s="579" t="n"/>
      <c r="E28" s="579" t="n">
        <v>0.828</v>
      </c>
      <c r="F28" s="579" t="n">
        <v>1.41</v>
      </c>
      <c r="G28" s="579" t="n"/>
      <c r="H28" s="579" t="n">
        <v>3.1</v>
      </c>
      <c r="I28" s="579" t="n"/>
      <c r="J28" s="2" t="n">
        <v>52.771</v>
      </c>
      <c r="K28" s="580" t="n"/>
      <c r="L28" s="580" t="n"/>
      <c r="M28" s="580" t="n"/>
      <c r="N28" s="580" t="n"/>
      <c r="O28" s="580" t="n"/>
      <c r="P28" s="580" t="n"/>
      <c r="Q28" s="8" t="n"/>
    </row>
    <row r="29" ht="15.75" customHeight="1">
      <c r="A29" s="2" t="n"/>
      <c r="B29" s="20" t="inlineStr">
        <is>
          <t>Proceeds from legal settlement, net</t>
        </is>
      </c>
      <c r="C29" s="579" t="n"/>
      <c r="D29" s="579" t="n"/>
      <c r="E29" s="579" t="n"/>
      <c r="F29" s="579" t="n"/>
      <c r="G29" s="579" t="n">
        <v>-6.931</v>
      </c>
      <c r="H29" s="579" t="n">
        <v>0</v>
      </c>
      <c r="I29" s="579" t="n"/>
      <c r="J29" s="2" t="n">
        <v>4.195</v>
      </c>
      <c r="K29" s="580" t="n"/>
      <c r="L29" s="580" t="n"/>
      <c r="M29" s="580" t="n"/>
      <c r="N29" s="580" t="n"/>
      <c r="O29" s="580" t="n"/>
      <c r="P29" s="580" t="n"/>
      <c r="Q29" s="8" t="n"/>
    </row>
    <row r="30" ht="15.75" customHeight="1">
      <c r="A30" s="2" t="n"/>
      <c r="B30" s="20" t="inlineStr">
        <is>
          <t>Acquisition of aircraft and engines held for lease, including capitalized cost</t>
        </is>
      </c>
      <c r="C30" s="579" t="n"/>
      <c r="D30" s="579" t="n"/>
      <c r="E30" s="579" t="n"/>
      <c r="F30" s="579" t="n"/>
      <c r="G30" s="579" t="n">
        <v>0.85</v>
      </c>
      <c r="H30" s="579" t="n">
        <v>-5.128</v>
      </c>
      <c r="I30" s="582" t="n">
        <v>-2.383</v>
      </c>
      <c r="J30" s="2" t="n">
        <v>-7.133</v>
      </c>
      <c r="K30" s="580" t="n"/>
      <c r="L30" s="580" t="n"/>
      <c r="M30" s="580" t="n"/>
      <c r="N30" s="580" t="n"/>
      <c r="O30" s="580" t="n"/>
      <c r="P30" s="580" t="n"/>
      <c r="Q30" s="8" t="n"/>
    </row>
    <row r="31" ht="15.75" customHeight="1">
      <c r="A31" s="2" t="n"/>
      <c r="B31" s="20" t="inlineStr">
        <is>
          <t>Purchase of property and equipment</t>
        </is>
      </c>
      <c r="C31" s="579" t="n"/>
      <c r="D31" s="579" t="n"/>
      <c r="E31" s="579" t="n"/>
      <c r="F31" s="579" t="n"/>
      <c r="G31" s="579" t="n">
        <v>0.605</v>
      </c>
      <c r="H31" s="579" t="n">
        <v>-2.137</v>
      </c>
      <c r="I31" s="582" t="n">
        <v>-1.508</v>
      </c>
      <c r="J31" s="2" t="n">
        <v>-8.462</v>
      </c>
      <c r="K31" s="580" t="n"/>
      <c r="L31" s="580" t="n"/>
      <c r="M31" s="580" t="n"/>
      <c r="N31" s="580" t="n"/>
      <c r="O31" s="580" t="n"/>
      <c r="P31" s="580" t="n"/>
      <c r="Q31" s="8" t="n"/>
    </row>
    <row r="32" ht="15.75" customHeight="1">
      <c r="A32" s="2" t="n"/>
      <c r="B32" s="20" t="inlineStr">
        <is>
          <t>Net cash provided by (used in) investing activities</t>
        </is>
      </c>
      <c r="C32" s="579" t="n"/>
      <c r="D32" s="579" t="n"/>
      <c r="E32" s="579" t="n"/>
      <c r="F32" s="579" t="n"/>
      <c r="G32" s="579" t="n"/>
      <c r="H32" s="579" t="n">
        <v>-21.141</v>
      </c>
      <c r="I32" s="579" t="n"/>
      <c r="J32" s="2" t="n">
        <v>41.371</v>
      </c>
      <c r="K32" s="580" t="n"/>
      <c r="L32" s="580" t="n"/>
      <c r="M32" s="580" t="n"/>
      <c r="N32" s="580" t="n"/>
      <c r="O32" s="580" t="n"/>
      <c r="P32" s="580" t="n"/>
      <c r="Q32" s="8" t="n"/>
    </row>
    <row r="33" ht="15.75" customHeight="1">
      <c r="A33" s="2" t="n"/>
      <c r="B33" s="583" t="n"/>
      <c r="C33" s="579" t="n"/>
      <c r="D33" s="579" t="n"/>
      <c r="E33" s="579" t="n"/>
      <c r="F33" s="579" t="n"/>
      <c r="G33" s="579" t="n"/>
      <c r="H33" s="579" t="n"/>
      <c r="I33" s="579" t="n"/>
      <c r="J33" s="581" t="n"/>
      <c r="K33" s="579" t="n"/>
      <c r="L33" s="579" t="n"/>
      <c r="M33" s="579" t="n"/>
      <c r="N33" s="579" t="n"/>
      <c r="O33" s="579" t="n"/>
      <c r="P33" s="579" t="n"/>
      <c r="Q33" s="2" t="n"/>
    </row>
    <row r="34" ht="15.75" customHeight="1">
      <c r="A34" s="2" t="n"/>
      <c r="B34" s="577" t="inlineStr">
        <is>
          <t>Net Change in Cash Balance</t>
        </is>
      </c>
      <c r="C34" s="584">
        <f>SUM(#REF!,#REF!,#REF!)</f>
        <v/>
      </c>
      <c r="D34" s="584">
        <f>SUM(#REF!,#REF!,#REF!)</f>
        <v/>
      </c>
      <c r="E34" s="584">
        <f>SUM(#REF!,#REF!,#REF!)</f>
        <v/>
      </c>
      <c r="F34" s="584">
        <f>SUM(#REF!,#REF!,#REF!)</f>
        <v/>
      </c>
      <c r="G34" s="584">
        <f>SUM(#REF!,#REF!,#REF!)</f>
        <v/>
      </c>
      <c r="H34" s="584">
        <f>SUM(#REF!,#REF!,#REF!)</f>
        <v/>
      </c>
      <c r="I34" s="584">
        <f>SUM(#REF!,#REF!,#REF!)</f>
        <v/>
      </c>
      <c r="J34" s="585">
        <f>SUM(#REF!,#REF!,#REF!)</f>
        <v/>
      </c>
      <c r="K34" s="584" t="n"/>
      <c r="L34" s="584" t="n"/>
      <c r="M34" s="584" t="n"/>
      <c r="N34" s="584" t="n"/>
      <c r="O34" s="584" t="n"/>
      <c r="P34" s="584" t="n"/>
      <c r="Q34" s="2" t="n"/>
    </row>
    <row r="35" ht="15.75" customHeight="1">
      <c r="A35" s="2" t="n"/>
      <c r="B35" s="583" t="n"/>
      <c r="C35" s="579" t="n"/>
      <c r="D35" s="579" t="n"/>
      <c r="E35" s="579" t="n"/>
      <c r="F35" s="579" t="n"/>
      <c r="G35" s="579" t="n"/>
      <c r="H35" s="579" t="n"/>
      <c r="I35" s="579" t="n"/>
      <c r="J35" s="581" t="n"/>
      <c r="K35" s="579" t="n"/>
      <c r="L35" s="579" t="n"/>
      <c r="M35" s="579" t="n"/>
      <c r="N35" s="579" t="n"/>
      <c r="O35" s="579" t="n"/>
      <c r="P35" s="579" t="n"/>
      <c r="Q35" s="2" t="n"/>
    </row>
    <row r="36" ht="15.75" customHeight="1">
      <c r="A36" s="2" t="n"/>
      <c r="B36" s="577" t="inlineStr">
        <is>
          <t>Beginning Cash Balance</t>
        </is>
      </c>
      <c r="C36" s="579" t="n"/>
      <c r="D36" s="579" t="n"/>
      <c r="E36" s="579" t="n"/>
      <c r="F36" s="579" t="n"/>
      <c r="G36" s="579" t="n"/>
      <c r="H36" s="579" t="n"/>
      <c r="I36" s="579" t="n"/>
      <c r="J36" s="581" t="n"/>
      <c r="K36" s="580" t="n"/>
      <c r="L36" s="580" t="n"/>
      <c r="M36" s="580" t="n"/>
      <c r="N36" s="580" t="n"/>
      <c r="O36" s="580" t="n"/>
      <c r="P36" s="580" t="n"/>
      <c r="Q36" s="2" t="n"/>
    </row>
    <row r="37" ht="15.75" customHeight="1">
      <c r="A37" s="2" t="n"/>
      <c r="B37" s="577" t="inlineStr">
        <is>
          <t>Ending Cash Balance</t>
        </is>
      </c>
      <c r="C37" s="579" t="n"/>
      <c r="D37" s="579" t="n"/>
      <c r="E37" s="579" t="n"/>
      <c r="F37" s="579" t="n"/>
      <c r="G37" s="579" t="n"/>
      <c r="H37" s="579" t="n"/>
      <c r="I37" s="579" t="n"/>
      <c r="J37" s="581" t="n"/>
      <c r="K37" s="580" t="n"/>
      <c r="L37" s="580" t="n"/>
      <c r="M37" s="580" t="n"/>
      <c r="N37" s="580" t="n"/>
      <c r="O37" s="580" t="n"/>
      <c r="P37" s="580" t="n"/>
      <c r="Q37" s="2" t="n"/>
    </row>
    <row r="38" ht="15.75" customHeight="1">
      <c r="A38" s="2" t="n"/>
      <c r="B38" s="583" t="n"/>
      <c r="C38" s="579" t="n"/>
      <c r="D38" s="579" t="n"/>
      <c r="E38" s="579" t="n"/>
      <c r="F38" s="579" t="n"/>
      <c r="G38" s="579" t="n"/>
      <c r="H38" s="579" t="n"/>
      <c r="I38" s="579" t="n"/>
      <c r="J38" s="581" t="n"/>
      <c r="K38" s="580" t="n"/>
      <c r="L38" s="580" t="n"/>
      <c r="M38" s="580" t="n"/>
      <c r="N38" s="580" t="n"/>
      <c r="O38" s="580" t="n"/>
      <c r="P38" s="580" t="n"/>
      <c r="Q38" s="2" t="n"/>
    </row>
    <row r="39" ht="15.75" customHeight="1">
      <c r="A39" s="2" t="n"/>
      <c r="B39" s="578" t="inlineStr">
        <is>
          <t>Cash paid for interest</t>
        </is>
      </c>
      <c r="C39" s="579" t="n">
        <v>0.175</v>
      </c>
      <c r="D39" s="579" t="n">
        <v>0.181</v>
      </c>
      <c r="E39" s="579" t="n">
        <v>2.01</v>
      </c>
      <c r="F39" s="579" t="n">
        <v>2.695</v>
      </c>
      <c r="G39" s="579" t="n">
        <v>2.73</v>
      </c>
      <c r="H39" s="579" t="n">
        <v>2.427</v>
      </c>
      <c r="I39" s="579" t="n">
        <v>0.114</v>
      </c>
      <c r="J39" s="581" t="n">
        <v>0</v>
      </c>
      <c r="K39" s="580" t="n"/>
      <c r="L39" s="580" t="n"/>
      <c r="M39" s="580" t="n"/>
      <c r="N39" s="580" t="n"/>
      <c r="O39" s="580" t="n"/>
      <c r="P39" s="580" t="n"/>
      <c r="Q39" s="2" t="n"/>
    </row>
    <row r="40" ht="15.75" customHeight="1">
      <c r="A40" s="2" t="n"/>
      <c r="B40" s="578" t="inlineStr">
        <is>
          <t>Cash paid for income taxes, net of refunds</t>
        </is>
      </c>
      <c r="C40" s="579" t="n">
        <v>8.507999999999999</v>
      </c>
      <c r="D40" s="579" t="n">
        <v>6.021</v>
      </c>
      <c r="E40" s="579" t="n">
        <v>1.805</v>
      </c>
      <c r="F40" s="579" t="n">
        <v>-2.052</v>
      </c>
      <c r="G40" s="579" t="n">
        <v>2.254</v>
      </c>
      <c r="H40" s="579" t="n">
        <v>7.369</v>
      </c>
      <c r="I40" s="579" t="n">
        <v>4.146</v>
      </c>
      <c r="J40" s="581" t="n">
        <v>7.453</v>
      </c>
      <c r="K40" s="580" t="n"/>
      <c r="L40" s="580" t="n"/>
      <c r="M40" s="580" t="n"/>
      <c r="N40" s="580" t="n"/>
      <c r="O40" s="580" t="n"/>
      <c r="P40" s="580" t="n"/>
      <c r="Q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99"/>
  <sheetViews>
    <sheetView showGridLines="0" workbookViewId="0">
      <selection activeCell="A1" sqref="A1"/>
    </sheetView>
  </sheetViews>
  <sheetFormatPr baseColWidth="10" defaultColWidth="14.5" defaultRowHeight="15" customHeight="1"/>
  <cols>
    <col width="10.83203125" customWidth="1" min="1" max="1"/>
    <col width="58.33203125" customWidth="1" min="2" max="2"/>
    <col hidden="1" width="10.83203125" customWidth="1" min="3" max="7"/>
    <col width="10.83203125" customWidth="1" min="8" max="10"/>
    <col width="12.83203125" customWidth="1" min="11" max="11"/>
    <col width="10.83203125" customWidth="1" min="12" max="17"/>
  </cols>
  <sheetData>
    <row r="1" ht="29" customHeight="1">
      <c r="A1" s="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5" t="inlineStr">
        <is>
          <t>x</t>
        </is>
      </c>
      <c r="B5" s="28" t="inlineStr">
        <is>
          <t>Income Statement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" t="n"/>
    </row>
    <row r="6">
      <c r="A6" s="5" t="n"/>
      <c r="B6" s="1" t="inlineStr">
        <is>
          <t>in $millions, unless otherwise specified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5" t="n"/>
      <c r="B7" s="1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5" t="n"/>
      <c r="B8" s="1" t="inlineStr">
        <is>
          <t xml:space="preserve">Fiscal year ending December 31, </t>
        </is>
      </c>
      <c r="C8" s="574">
        <f>2015</f>
        <v/>
      </c>
      <c r="D8" s="574">
        <f>C8+1</f>
        <v/>
      </c>
      <c r="E8" s="574">
        <f>D8+1</f>
        <v/>
      </c>
      <c r="F8" s="574">
        <f>E8+1</f>
        <v/>
      </c>
      <c r="G8" s="574">
        <f>F8+1</f>
        <v/>
      </c>
      <c r="H8" s="574">
        <f>G8+1</f>
        <v/>
      </c>
      <c r="I8" s="574">
        <f>H8+1</f>
        <v/>
      </c>
      <c r="J8" s="575">
        <f>I8+1</f>
        <v/>
      </c>
      <c r="K8" s="576">
        <f>J8+1</f>
        <v/>
      </c>
      <c r="L8" s="576">
        <f>K8+1</f>
        <v/>
      </c>
      <c r="M8" s="576">
        <f>L8+1</f>
        <v/>
      </c>
      <c r="N8" s="576">
        <f>M8+1</f>
        <v/>
      </c>
      <c r="O8" s="576">
        <f>N8+1</f>
        <v/>
      </c>
      <c r="P8" s="576">
        <f>O8+1</f>
        <v/>
      </c>
      <c r="Q8" s="2" t="n"/>
    </row>
    <row r="9">
      <c r="A9" s="5" t="n"/>
      <c r="B9" s="578" t="inlineStr">
        <is>
          <t xml:space="preserve"> Aircraft</t>
        </is>
      </c>
      <c r="C9" s="586" t="n">
        <v>140.936</v>
      </c>
      <c r="D9" s="586" t="n">
        <v>173.54</v>
      </c>
      <c r="E9" s="586" t="n">
        <v>236.283</v>
      </c>
      <c r="F9" s="586" t="n">
        <v>291.072</v>
      </c>
      <c r="G9" s="586" t="n">
        <v>337.375</v>
      </c>
      <c r="H9" s="586" t="n">
        <v>53.639</v>
      </c>
      <c r="I9" s="586" t="n">
        <v>87.461</v>
      </c>
      <c r="J9" s="587" t="n">
        <v>101.511</v>
      </c>
      <c r="K9" s="588">
        <f>'Costs &amp; Expenses Build'!F13</f>
        <v/>
      </c>
      <c r="L9" s="588">
        <f>'Costs &amp; Expenses Build'!G13</f>
        <v/>
      </c>
      <c r="M9" s="588">
        <f>'Costs &amp; Expenses Build'!H13</f>
        <v/>
      </c>
      <c r="N9" s="588">
        <f>'Costs &amp; Expenses Build'!I13</f>
        <v/>
      </c>
      <c r="O9" s="588">
        <f>'Costs &amp; Expenses Build'!J13</f>
        <v/>
      </c>
      <c r="P9" s="588">
        <f>'Costs &amp; Expenses Build'!#REF!</f>
        <v/>
      </c>
      <c r="Q9" s="2" t="n"/>
    </row>
    <row r="10">
      <c r="A10" s="5" t="n"/>
      <c r="B10" s="578" t="inlineStr">
        <is>
          <t xml:space="preserve"> Engines</t>
        </is>
      </c>
      <c r="C10" s="586" t="n"/>
      <c r="D10" s="586" t="n"/>
      <c r="E10" s="586" t="n"/>
      <c r="F10" s="586" t="n"/>
      <c r="G10" s="586" t="n"/>
      <c r="H10" s="586" t="n">
        <v>45.072</v>
      </c>
      <c r="I10" s="586" t="n">
        <v>144.549</v>
      </c>
      <c r="J10" s="587" t="n">
        <v>176.096</v>
      </c>
      <c r="K10" s="588" t="n"/>
      <c r="L10" s="588" t="n"/>
      <c r="M10" s="588" t="n"/>
      <c r="N10" s="588" t="n"/>
      <c r="O10" s="588" t="n"/>
      <c r="P10" s="588" t="n"/>
      <c r="Q10" s="2" t="n"/>
    </row>
    <row r="11">
      <c r="A11" s="5" t="n"/>
      <c r="B11" s="577" t="inlineStr">
        <is>
          <t>Total Assem Management Solutions Revenue</t>
        </is>
      </c>
      <c r="C11" s="586" t="n"/>
      <c r="D11" s="586" t="n"/>
      <c r="E11" s="586" t="n"/>
      <c r="F11" s="586" t="n"/>
      <c r="G11" s="586" t="n"/>
      <c r="H11" s="586">
        <f>SUM(H9:H10)</f>
        <v/>
      </c>
      <c r="I11" s="586">
        <f>SUM(I9:I10)</f>
        <v/>
      </c>
      <c r="J11" s="586">
        <f>SUM(J9:J10)</f>
        <v/>
      </c>
      <c r="K11" s="588" t="n"/>
      <c r="L11" s="588" t="n"/>
      <c r="M11" s="588" t="n"/>
      <c r="N11" s="588" t="n"/>
      <c r="O11" s="588" t="n"/>
      <c r="P11" s="588" t="n"/>
      <c r="Q11" s="2" t="n"/>
    </row>
    <row r="12">
      <c r="A12" s="5" t="n"/>
      <c r="B12" s="578" t="inlineStr">
        <is>
          <t xml:space="preserve"> MRO</t>
        </is>
      </c>
      <c r="C12" s="586" t="n"/>
      <c r="D12" s="586" t="n"/>
      <c r="E12" s="586" t="n"/>
      <c r="F12" s="586" t="n"/>
      <c r="G12" s="586" t="n"/>
      <c r="H12" s="586" t="n">
        <v>103.899</v>
      </c>
      <c r="I12" s="586" t="n">
        <v>99.899</v>
      </c>
      <c r="J12" s="587" t="n">
        <v>95.258</v>
      </c>
      <c r="K12" s="588" t="n"/>
      <c r="L12" s="588" t="n"/>
      <c r="M12" s="588" t="n"/>
      <c r="N12" s="588" t="n"/>
      <c r="O12" s="588" t="n"/>
      <c r="P12" s="588" t="n"/>
      <c r="Q12" s="2" t="n"/>
    </row>
    <row r="13">
      <c r="A13" s="5" t="n"/>
      <c r="B13" s="578" t="inlineStr">
        <is>
          <t xml:space="preserve"> Product Sales</t>
        </is>
      </c>
      <c r="C13" s="586" t="n"/>
      <c r="D13" s="586" t="n"/>
      <c r="E13" s="586" t="n"/>
      <c r="F13" s="586" t="n"/>
      <c r="G13" s="586" t="n"/>
      <c r="H13" s="586" t="n">
        <v>6.328</v>
      </c>
      <c r="I13" s="586" t="n">
        <v>8.528</v>
      </c>
      <c r="J13" s="587" t="n">
        <v>11.942</v>
      </c>
      <c r="K13" s="588" t="n"/>
      <c r="L13" s="588" t="n"/>
      <c r="M13" s="588" t="n"/>
      <c r="N13" s="588" t="n"/>
      <c r="O13" s="588" t="n"/>
      <c r="P13" s="588" t="n"/>
      <c r="Q13" s="2" t="n"/>
    </row>
    <row r="14">
      <c r="A14" s="5" t="n"/>
      <c r="B14" s="578" t="inlineStr">
        <is>
          <t xml:space="preserve"> Whole Asset Sale</t>
        </is>
      </c>
      <c r="C14" s="586" t="n">
        <v>67.952</v>
      </c>
      <c r="D14" s="586" t="n">
        <v>87.566</v>
      </c>
      <c r="E14" s="586" t="n">
        <v>102.654</v>
      </c>
      <c r="F14" s="586" t="n">
        <v>129.422</v>
      </c>
      <c r="G14" s="586" t="n">
        <v>164.988</v>
      </c>
      <c r="H14" s="586" t="n">
        <v>0</v>
      </c>
      <c r="I14" s="586" t="n">
        <v>0</v>
      </c>
      <c r="J14" s="587" t="n">
        <v>23.737</v>
      </c>
      <c r="K14" s="588">
        <f>'Costs &amp; Expenses Build'!F11</f>
        <v/>
      </c>
      <c r="L14" s="588">
        <f>'Costs &amp; Expenses Build'!G11</f>
        <v/>
      </c>
      <c r="M14" s="588">
        <f>'Costs &amp; Expenses Build'!H11</f>
        <v/>
      </c>
      <c r="N14" s="588">
        <f>'Costs &amp; Expenses Build'!I11</f>
        <v/>
      </c>
      <c r="O14" s="588">
        <f>'Costs &amp; Expenses Build'!J11</f>
        <v/>
      </c>
      <c r="P14" s="588">
        <f>'Costs &amp; Expenses Build'!#REF!</f>
        <v/>
      </c>
      <c r="Q14" s="2" t="n"/>
    </row>
    <row r="15">
      <c r="A15" s="5" t="n"/>
      <c r="B15" s="577" t="inlineStr">
        <is>
          <t>Total TechOps Revenue</t>
        </is>
      </c>
      <c r="C15" s="586" t="n"/>
      <c r="D15" s="586" t="n"/>
      <c r="E15" s="586" t="n"/>
      <c r="F15" s="586" t="n"/>
      <c r="G15" s="586" t="n"/>
      <c r="H15" s="586">
        <f>SUM(H12:H14)</f>
        <v/>
      </c>
      <c r="I15" s="586">
        <f>SUM(I12:I14)</f>
        <v/>
      </c>
      <c r="J15" s="586">
        <f>SUM(J12:J14)</f>
        <v/>
      </c>
      <c r="K15" s="588" t="n"/>
      <c r="L15" s="588" t="n"/>
      <c r="M15" s="588" t="n"/>
      <c r="N15" s="588" t="n"/>
      <c r="O15" s="588" t="n"/>
      <c r="P15" s="588" t="n"/>
      <c r="Q15" s="2" t="n"/>
    </row>
    <row r="16">
      <c r="A16" s="5" t="inlineStr">
        <is>
          <t>x</t>
        </is>
      </c>
      <c r="B16" s="589" t="inlineStr">
        <is>
          <t>Total revenue</t>
        </is>
      </c>
      <c r="C16" s="590">
        <f>SUM(C9:C14)</f>
        <v/>
      </c>
      <c r="D16" s="590">
        <f>SUM(D9:D14)</f>
        <v/>
      </c>
      <c r="E16" s="590">
        <f>SUM(E9:E14)</f>
        <v/>
      </c>
      <c r="F16" s="590">
        <f>SUM(F9:F14)</f>
        <v/>
      </c>
      <c r="G16" s="590">
        <f>SUM(G9:G14)</f>
        <v/>
      </c>
      <c r="H16" s="590">
        <f>SUM(H11,H15)</f>
        <v/>
      </c>
      <c r="I16" s="590">
        <f>SUM(I11,I15)</f>
        <v/>
      </c>
      <c r="J16" s="590">
        <f>SUM(J11,J15)</f>
        <v/>
      </c>
      <c r="K16" s="591">
        <f>SUM(K9:K14)</f>
        <v/>
      </c>
      <c r="L16" s="591">
        <f>SUM(L9:L14)</f>
        <v/>
      </c>
      <c r="M16" s="591">
        <f>SUM(M9:M14)</f>
        <v/>
      </c>
      <c r="N16" s="591">
        <f>SUM(N9:N14)</f>
        <v/>
      </c>
      <c r="O16" s="591">
        <f>SUM(O9:O14)</f>
        <v/>
      </c>
      <c r="P16" s="591">
        <f>SUM(P9:P14)</f>
        <v/>
      </c>
      <c r="Q16" s="2" t="n"/>
    </row>
    <row r="17">
      <c r="A17" s="5" t="n"/>
      <c r="B17" s="578" t="inlineStr">
        <is>
          <t>Cost of Product</t>
        </is>
      </c>
      <c r="C17" s="586" t="n">
        <v>25.722</v>
      </c>
      <c r="D17" s="586" t="n">
        <v>30.229</v>
      </c>
      <c r="E17" s="586" t="n">
        <v>35.61</v>
      </c>
      <c r="F17" s="586" t="n">
        <v>44.93299999999999</v>
      </c>
      <c r="G17" s="586" t="n">
        <v>50.066</v>
      </c>
      <c r="H17" s="586" t="n">
        <v>49.89</v>
      </c>
      <c r="I17" s="586" t="n">
        <v>139.475</v>
      </c>
      <c r="J17" s="587" t="n">
        <v>176.074</v>
      </c>
      <c r="K17" s="588">
        <f>'Costs &amp; Expenses Build'!F28</f>
        <v/>
      </c>
      <c r="L17" s="588">
        <f>'Costs &amp; Expenses Build'!G28</f>
        <v/>
      </c>
      <c r="M17" s="588">
        <f>'Costs &amp; Expenses Build'!H28</f>
        <v/>
      </c>
      <c r="N17" s="588">
        <f>'Costs &amp; Expenses Build'!I28</f>
        <v/>
      </c>
      <c r="O17" s="588">
        <f>'Costs &amp; Expenses Build'!J28</f>
        <v/>
      </c>
      <c r="P17" s="588">
        <f>'Costs &amp; Expenses Build'!#REF!</f>
        <v/>
      </c>
      <c r="Q17" s="2" t="n"/>
    </row>
    <row r="18">
      <c r="A18" s="5" t="n"/>
      <c r="B18" s="578" t="inlineStr">
        <is>
          <t>Cost of Leasing</t>
        </is>
      </c>
      <c r="C18" s="586" t="n">
        <v>25.722</v>
      </c>
      <c r="D18" s="586" t="n">
        <v>30.229</v>
      </c>
      <c r="E18" s="586" t="n">
        <v>35.61</v>
      </c>
      <c r="F18" s="586" t="n">
        <v>44.93299999999999</v>
      </c>
      <c r="G18" s="586" t="n">
        <v>50.066</v>
      </c>
      <c r="H18" s="586" t="n">
        <v>24.244</v>
      </c>
      <c r="I18" s="586" t="n">
        <v>9.804</v>
      </c>
      <c r="J18" s="587" t="n">
        <v>6.929</v>
      </c>
      <c r="K18" s="588">
        <f>'Costs &amp; Expenses Build'!#REF!</f>
        <v/>
      </c>
      <c r="L18" s="588">
        <f>'Costs &amp; Expenses Build'!#REF!</f>
        <v/>
      </c>
      <c r="M18" s="588">
        <f>'Costs &amp; Expenses Build'!#REF!</f>
        <v/>
      </c>
      <c r="N18" s="588">
        <f>'Costs &amp; Expenses Build'!#REF!</f>
        <v/>
      </c>
      <c r="O18" s="588">
        <f>'Costs &amp; Expenses Build'!#REF!</f>
        <v/>
      </c>
      <c r="P18" s="588">
        <f>'Costs &amp; Expenses Build'!#REF!</f>
        <v/>
      </c>
      <c r="Q18" s="2" t="n"/>
    </row>
    <row r="19">
      <c r="A19" s="5" t="n"/>
      <c r="B19" s="578" t="inlineStr">
        <is>
          <t>Cost of Services</t>
        </is>
      </c>
      <c r="C19" s="586" t="n">
        <v>51.652</v>
      </c>
      <c r="D19" s="586" t="n">
        <v>69.151</v>
      </c>
      <c r="E19" s="586" t="n">
        <v>80.578</v>
      </c>
      <c r="F19" s="586" t="n">
        <v>100.782</v>
      </c>
      <c r="G19" s="586" t="n">
        <v>133.533</v>
      </c>
      <c r="H19" s="586" t="n">
        <v>82.015</v>
      </c>
      <c r="I19" s="586" t="n">
        <v>71.76600000000001</v>
      </c>
      <c r="J19" s="587" t="n">
        <v>74.14700000000001</v>
      </c>
      <c r="K19" s="588">
        <f>'Costs &amp; Expenses Build'!F23</f>
        <v/>
      </c>
      <c r="L19" s="588">
        <f>'Costs &amp; Expenses Build'!G23</f>
        <v/>
      </c>
      <c r="M19" s="588">
        <f>'Costs &amp; Expenses Build'!H23</f>
        <v/>
      </c>
      <c r="N19" s="588">
        <f>'Costs &amp; Expenses Build'!I23</f>
        <v/>
      </c>
      <c r="O19" s="588">
        <f>'Costs &amp; Expenses Build'!J23</f>
        <v/>
      </c>
      <c r="P19" s="588">
        <f>'Costs &amp; Expenses Build'!#REF!</f>
        <v/>
      </c>
      <c r="Q19" s="2" t="n"/>
    </row>
    <row r="20" ht="15.75" customHeight="1">
      <c r="A20" s="5" t="inlineStr">
        <is>
          <t>x</t>
        </is>
      </c>
      <c r="B20" s="589" t="inlineStr">
        <is>
          <t>Total cost of revenue</t>
        </is>
      </c>
      <c r="C20" s="590">
        <f>SUM(C18:C19)</f>
        <v/>
      </c>
      <c r="D20" s="590">
        <f>SUM(D18:D19)</f>
        <v/>
      </c>
      <c r="E20" s="590">
        <f>SUM(E18:E19)</f>
        <v/>
      </c>
      <c r="F20" s="590">
        <f>SUM(F18:F19)</f>
        <v/>
      </c>
      <c r="G20" s="590">
        <f>SUM(G18:G19)</f>
        <v/>
      </c>
      <c r="H20" s="590">
        <f>SUM(H17:H19)</f>
        <v/>
      </c>
      <c r="I20" s="590">
        <f>SUM(I17:I19)</f>
        <v/>
      </c>
      <c r="J20" s="590">
        <f>SUM(J17:J19)</f>
        <v/>
      </c>
      <c r="K20" s="591">
        <f>SUM(K18:K19)</f>
        <v/>
      </c>
      <c r="L20" s="591">
        <f>SUM(L18:L19)</f>
        <v/>
      </c>
      <c r="M20" s="591">
        <f>SUM(M18:M19)</f>
        <v/>
      </c>
      <c r="N20" s="591">
        <f>SUM(N18:N19)</f>
        <v/>
      </c>
      <c r="O20" s="591">
        <f>SUM(O18:O19)</f>
        <v/>
      </c>
      <c r="P20" s="591">
        <f>SUM(P18:P19)</f>
        <v/>
      </c>
      <c r="Q20" s="2" t="n"/>
    </row>
    <row r="21" ht="15.75" customHeight="1">
      <c r="A21" s="5" t="n"/>
      <c r="B21" s="578" t="inlineStr">
        <is>
          <t>Sales, general, and administrative</t>
        </is>
      </c>
      <c r="C21" s="586" t="n">
        <v>32.24</v>
      </c>
      <c r="D21" s="586" t="n">
        <v>38.98</v>
      </c>
      <c r="E21" s="586" t="n">
        <v>43.49</v>
      </c>
      <c r="F21" s="586" t="n">
        <v>55.902</v>
      </c>
      <c r="G21" s="586" t="n">
        <v>61.815</v>
      </c>
      <c r="H21" s="586" t="n">
        <v>55.635</v>
      </c>
      <c r="I21" s="586" t="n">
        <v>77.498</v>
      </c>
      <c r="J21" s="587" t="n">
        <v>96.348</v>
      </c>
      <c r="K21" s="588">
        <f>'Costs &amp; Expenses Build'!F31</f>
        <v/>
      </c>
      <c r="L21" s="588">
        <f>'Costs &amp; Expenses Build'!G31</f>
        <v/>
      </c>
      <c r="M21" s="588">
        <f>'Costs &amp; Expenses Build'!H31</f>
        <v/>
      </c>
      <c r="N21" s="588">
        <f>'Costs &amp; Expenses Build'!I31</f>
        <v/>
      </c>
      <c r="O21" s="588">
        <f>'Costs &amp; Expenses Build'!J31</f>
        <v/>
      </c>
      <c r="P21" s="588">
        <f>'Costs &amp; Expenses Build'!#REF!</f>
        <v/>
      </c>
      <c r="Q21" s="2" t="n"/>
    </row>
    <row r="22" ht="15.75" customHeight="1">
      <c r="A22" s="5" t="n"/>
      <c r="B22" s="578" t="inlineStr">
        <is>
          <t>Paroll support program proceeds</t>
        </is>
      </c>
      <c r="C22" s="586" t="n">
        <v>40.002</v>
      </c>
      <c r="D22" s="586" t="n">
        <v>44.272</v>
      </c>
      <c r="E22" s="586" t="n">
        <v>72.755</v>
      </c>
      <c r="F22" s="586" t="n">
        <v>89.20399999999999</v>
      </c>
      <c r="G22" s="586" t="n">
        <v>114.443</v>
      </c>
      <c r="H22" s="586" t="n">
        <v>-12.693</v>
      </c>
      <c r="I22" s="586" t="n">
        <v>-14.768</v>
      </c>
      <c r="J22" s="587" t="n"/>
      <c r="K22" s="588">
        <f>'Costs &amp; Expenses Build'!F37</f>
        <v/>
      </c>
      <c r="L22" s="588">
        <f>'Costs &amp; Expenses Build'!G37</f>
        <v/>
      </c>
      <c r="M22" s="588">
        <f>'Costs &amp; Expenses Build'!H37</f>
        <v/>
      </c>
      <c r="N22" s="588">
        <f>'Costs &amp; Expenses Build'!I37</f>
        <v/>
      </c>
      <c r="O22" s="588">
        <f>'Costs &amp; Expenses Build'!J37</f>
        <v/>
      </c>
      <c r="P22" s="588">
        <f>'Costs &amp; Expenses Build'!#REF!</f>
        <v/>
      </c>
      <c r="Q22" s="2" t="n"/>
    </row>
    <row r="23" ht="15.75" customHeight="1">
      <c r="A23" s="5" t="n"/>
      <c r="B23" s="578" t="inlineStr">
        <is>
          <t>transactio cost recovered</t>
        </is>
      </c>
      <c r="C23" s="586" t="n">
        <v>5.808</v>
      </c>
      <c r="D23" s="586" t="n">
        <v>6.49</v>
      </c>
      <c r="E23" s="586" t="n">
        <v>17.734</v>
      </c>
      <c r="F23" s="586" t="n">
        <v>21.721</v>
      </c>
      <c r="G23" s="586" t="n">
        <v>22.134</v>
      </c>
      <c r="H23" s="586" t="n">
        <v>-1.436</v>
      </c>
      <c r="I23" s="586" t="n"/>
      <c r="J23" s="587" t="n"/>
      <c r="K23" s="588">
        <f>'Costs &amp; Expenses Build'!F43</f>
        <v/>
      </c>
      <c r="L23" s="588">
        <f>'Costs &amp; Expenses Build'!G43</f>
        <v/>
      </c>
      <c r="M23" s="588">
        <f>'Costs &amp; Expenses Build'!H43</f>
        <v/>
      </c>
      <c r="N23" s="588">
        <f>'Costs &amp; Expenses Build'!I43</f>
        <v/>
      </c>
      <c r="O23" s="588">
        <f>'Costs &amp; Expenses Build'!J43</f>
        <v/>
      </c>
      <c r="P23" s="588">
        <f>'Costs &amp; Expenses Build'!#REF!</f>
        <v/>
      </c>
      <c r="Q23" s="2" t="n"/>
    </row>
    <row r="24" ht="15.75" customHeight="1">
      <c r="A24" s="5" t="n"/>
      <c r="B24" s="578" t="inlineStr">
        <is>
          <t>Operating lease amortization</t>
        </is>
      </c>
      <c r="C24" s="586" t="n"/>
      <c r="D24" s="586" t="n"/>
      <c r="E24" s="586" t="n"/>
      <c r="F24" s="586" t="n"/>
      <c r="G24" s="586" t="n"/>
      <c r="H24" s="586" t="n"/>
      <c r="I24" s="586" t="n"/>
      <c r="J24" s="587" t="n"/>
      <c r="K24" s="588" t="n"/>
      <c r="L24" s="588" t="n"/>
      <c r="M24" s="588" t="n"/>
      <c r="N24" s="588" t="n"/>
      <c r="O24" s="588" t="n"/>
      <c r="P24" s="588" t="n"/>
      <c r="Q24" s="2" t="n"/>
    </row>
    <row r="25" ht="15.75" customHeight="1">
      <c r="A25" s="5" t="inlineStr">
        <is>
          <t>x</t>
        </is>
      </c>
      <c r="B25" s="589" t="inlineStr">
        <is>
          <t>Total operating expenses</t>
        </is>
      </c>
      <c r="C25" s="592">
        <f>SUM(C21:C24)</f>
        <v/>
      </c>
      <c r="D25" s="592">
        <f>SUM(D21:D24)</f>
        <v/>
      </c>
      <c r="E25" s="592">
        <f>SUM(E21:E24)</f>
        <v/>
      </c>
      <c r="F25" s="592">
        <f>SUM(F21:F24)</f>
        <v/>
      </c>
      <c r="G25" s="592">
        <f>SUM(G21:G24)</f>
        <v/>
      </c>
      <c r="H25" s="592">
        <f>SUM(H21:H24)</f>
        <v/>
      </c>
      <c r="I25" s="592">
        <f>SUM(I21:I24)</f>
        <v/>
      </c>
      <c r="J25" s="593">
        <f>SUM(J21:J24)</f>
        <v/>
      </c>
      <c r="K25" s="592">
        <f>SUM(K21:K24)</f>
        <v/>
      </c>
      <c r="L25" s="592">
        <f>SUM(L21:L24)</f>
        <v/>
      </c>
      <c r="M25" s="592">
        <f>SUM(M21:M24)</f>
        <v/>
      </c>
      <c r="N25" s="592">
        <f>SUM(N21:N24)</f>
        <v/>
      </c>
      <c r="O25" s="592">
        <f>SUM(O21:O24)</f>
        <v/>
      </c>
      <c r="P25" s="592">
        <f>SUM(P21:P24)</f>
        <v/>
      </c>
      <c r="Q25" s="2" t="n"/>
    </row>
    <row r="26" ht="15.75" customHeight="1">
      <c r="A26" s="5" t="inlineStr">
        <is>
          <t>x</t>
        </is>
      </c>
      <c r="B26" s="577" t="inlineStr">
        <is>
          <t>Operating income</t>
        </is>
      </c>
      <c r="C26" s="594">
        <f>C16-C20-C25</f>
        <v/>
      </c>
      <c r="D26" s="594">
        <f>D16-D20-D25</f>
        <v/>
      </c>
      <c r="E26" s="594">
        <f>E16-E20-E25</f>
        <v/>
      </c>
      <c r="F26" s="594">
        <f>F16-F20-F25</f>
        <v/>
      </c>
      <c r="G26" s="594">
        <f>G16-G20-G25</f>
        <v/>
      </c>
      <c r="H26" s="594">
        <f>H16-H20-H25</f>
        <v/>
      </c>
      <c r="I26" s="594">
        <f>I16-I20-I25</f>
        <v/>
      </c>
      <c r="J26" s="595">
        <f>J16-J20-J25</f>
        <v/>
      </c>
      <c r="K26" s="596">
        <f>K16-K20-K25</f>
        <v/>
      </c>
      <c r="L26" s="596">
        <f>L16-L20-L25</f>
        <v/>
      </c>
      <c r="M26" s="596">
        <f>M16-M20-M25</f>
        <v/>
      </c>
      <c r="N26" s="596">
        <f>N16-N20-N25</f>
        <v/>
      </c>
      <c r="O26" s="596">
        <f>O16-O20-O25</f>
        <v/>
      </c>
      <c r="P26" s="596">
        <f>P16-P20-P25</f>
        <v/>
      </c>
      <c r="Q26" s="2" t="n"/>
    </row>
    <row r="27" ht="15.75" customHeight="1">
      <c r="A27" s="5" t="n"/>
      <c r="B27" s="578" t="inlineStr">
        <is>
          <t>Interest income, net</t>
        </is>
      </c>
      <c r="C27" s="586" t="n">
        <v>0</v>
      </c>
      <c r="D27" s="586" t="n">
        <v>0</v>
      </c>
      <c r="E27" s="586" t="n">
        <v>0</v>
      </c>
      <c r="F27" s="586" t="n">
        <v>0</v>
      </c>
      <c r="G27" s="586" t="n">
        <v>4.922</v>
      </c>
      <c r="H27" s="586" t="n">
        <v>-1.645</v>
      </c>
      <c r="I27" s="586" t="n">
        <v>-0.98</v>
      </c>
      <c r="J27" s="587" t="n">
        <v>1.093</v>
      </c>
      <c r="K27" s="588" t="n">
        <v>0</v>
      </c>
      <c r="L27" s="588" t="n">
        <v>0</v>
      </c>
      <c r="M27" s="588" t="n">
        <v>0</v>
      </c>
      <c r="N27" s="588" t="n">
        <v>0</v>
      </c>
      <c r="O27" s="588" t="n">
        <v>0</v>
      </c>
      <c r="P27" s="588" t="n">
        <v>0</v>
      </c>
      <c r="Q27" s="2" t="n"/>
    </row>
    <row r="28" ht="15.75" customHeight="1">
      <c r="A28" s="5" t="n"/>
      <c r="B28" s="578" t="inlineStr">
        <is>
          <t>Other income, net</t>
        </is>
      </c>
      <c r="C28" s="586" t="n">
        <v>0</v>
      </c>
      <c r="D28" s="586" t="n">
        <v>0</v>
      </c>
      <c r="E28" s="586" t="n">
        <v>0</v>
      </c>
      <c r="F28" s="586" t="n">
        <v>0</v>
      </c>
      <c r="G28" s="586" t="n">
        <v>4.922</v>
      </c>
      <c r="H28" s="586" t="n">
        <v>0.494</v>
      </c>
      <c r="I28" s="586" t="n">
        <v>0.458</v>
      </c>
      <c r="J28" s="587" t="n">
        <v>2.268</v>
      </c>
      <c r="K28" s="588" t="n">
        <v>0</v>
      </c>
      <c r="L28" s="588" t="n">
        <v>0</v>
      </c>
      <c r="M28" s="588" t="n">
        <v>0</v>
      </c>
      <c r="N28" s="588" t="n">
        <v>0</v>
      </c>
      <c r="O28" s="588" t="n">
        <v>0</v>
      </c>
      <c r="P28" s="588" t="n">
        <v>0</v>
      </c>
      <c r="Q28" s="2" t="n"/>
    </row>
    <row r="29" ht="15.75" customHeight="1">
      <c r="A29" s="5" t="n"/>
      <c r="B29" s="578" t="inlineStr">
        <is>
          <t>Unrealized loss on investment</t>
        </is>
      </c>
      <c r="C29" s="586" t="n">
        <v>0</v>
      </c>
      <c r="D29" s="586" t="n">
        <v>0</v>
      </c>
      <c r="E29" s="586" t="n">
        <v>0</v>
      </c>
      <c r="F29" s="586" t="n">
        <v>0</v>
      </c>
      <c r="G29" s="586" t="n">
        <v>4.922</v>
      </c>
      <c r="H29" s="586" t="n"/>
      <c r="I29" s="586" t="n">
        <v>-5.421</v>
      </c>
      <c r="J29" s="587" t="n"/>
      <c r="K29" s="588" t="n">
        <v>0</v>
      </c>
      <c r="L29" s="588" t="n">
        <v>0</v>
      </c>
      <c r="M29" s="588" t="n">
        <v>0</v>
      </c>
      <c r="N29" s="588" t="n">
        <v>0</v>
      </c>
      <c r="O29" s="588" t="n">
        <v>0</v>
      </c>
      <c r="P29" s="588" t="n">
        <v>0</v>
      </c>
      <c r="Q29" s="2" t="n"/>
    </row>
    <row r="30" ht="15.75" customHeight="1">
      <c r="A30" s="5" t="n"/>
      <c r="B30" s="578" t="inlineStr">
        <is>
          <t>Change in fair value of warrant liability</t>
        </is>
      </c>
      <c r="C30" s="586" t="n">
        <v>0</v>
      </c>
      <c r="D30" s="586" t="n">
        <v>0</v>
      </c>
      <c r="E30" s="586" t="n">
        <v>0</v>
      </c>
      <c r="F30" s="586" t="n">
        <v>0</v>
      </c>
      <c r="G30" s="586" t="n">
        <v>4.922</v>
      </c>
      <c r="H30" s="586" t="n">
        <v>-0.388</v>
      </c>
      <c r="I30" s="586" t="n">
        <v>-2.945</v>
      </c>
      <c r="J30" s="587" t="n">
        <v>-0.525</v>
      </c>
      <c r="K30" s="588" t="n">
        <v>0</v>
      </c>
      <c r="L30" s="588" t="n">
        <v>0</v>
      </c>
      <c r="M30" s="588" t="n">
        <v>0</v>
      </c>
      <c r="N30" s="588" t="n">
        <v>0</v>
      </c>
      <c r="O30" s="588" t="n">
        <v>0</v>
      </c>
      <c r="P30" s="588" t="n">
        <v>0</v>
      </c>
      <c r="Q30" s="2" t="n"/>
    </row>
    <row r="31" ht="15.75" customHeight="1">
      <c r="A31" s="5" t="n"/>
      <c r="B31" s="589" t="inlineStr">
        <is>
          <t>Income before income taxes</t>
        </is>
      </c>
      <c r="C31" s="592">
        <f>C26+SUM(C30:C30)</f>
        <v/>
      </c>
      <c r="D31" s="592">
        <f>D26+SUM(D30:D30)</f>
        <v/>
      </c>
      <c r="E31" s="592">
        <f>E26+SUM(E30:E30)</f>
        <v/>
      </c>
      <c r="F31" s="592">
        <f>F26+SUM(F30:F30)</f>
        <v/>
      </c>
      <c r="G31" s="592">
        <f>G26+SUM(G30:G30)</f>
        <v/>
      </c>
      <c r="H31" s="592">
        <f>H26+SUM(H27:H30)</f>
        <v/>
      </c>
      <c r="I31" s="592">
        <f>I26+SUM(I27:I30)</f>
        <v/>
      </c>
      <c r="J31" s="592">
        <f>J26+SUM(J27:J30)</f>
        <v/>
      </c>
      <c r="K31" s="597">
        <f>K26+SUM(K30:K30)</f>
        <v/>
      </c>
      <c r="L31" s="597">
        <f>L26+SUM(L30:L30)</f>
        <v/>
      </c>
      <c r="M31" s="597">
        <f>M26+SUM(M30:M30)</f>
        <v/>
      </c>
      <c r="N31" s="597">
        <f>N26+SUM(N30:N30)</f>
        <v/>
      </c>
      <c r="O31" s="597">
        <f>O26+SUM(O30:O30)</f>
        <v/>
      </c>
      <c r="P31" s="597">
        <f>P26+SUM(P30:P30)</f>
        <v/>
      </c>
      <c r="Q31" s="2" t="n"/>
    </row>
    <row r="32" ht="15.75" customHeight="1">
      <c r="A32" s="5" t="n"/>
      <c r="B32" s="578" t="inlineStr">
        <is>
          <t>Provision for income taxes</t>
        </is>
      </c>
      <c r="C32" s="586" t="n">
        <v>5.697</v>
      </c>
      <c r="D32" s="586" t="n">
        <v>4.227</v>
      </c>
      <c r="E32" s="586" t="n">
        <v>2.99</v>
      </c>
      <c r="F32" s="586" t="n">
        <v>-9.825000000000001</v>
      </c>
      <c r="G32" s="586" t="n">
        <v>5.566</v>
      </c>
      <c r="H32" s="586" t="n">
        <v>1.65</v>
      </c>
      <c r="I32" s="586" t="n">
        <v>11.659</v>
      </c>
      <c r="J32" s="587" t="n">
        <v>14.021</v>
      </c>
      <c r="K32" s="588">
        <f>K31*0.21</f>
        <v/>
      </c>
      <c r="L32" s="588">
        <f>L31*0.21</f>
        <v/>
      </c>
      <c r="M32" s="588">
        <f>M31*0.21</f>
        <v/>
      </c>
      <c r="N32" s="588">
        <f>N31*0.21</f>
        <v/>
      </c>
      <c r="O32" s="588">
        <f>O31*0.21</f>
        <v/>
      </c>
      <c r="P32" s="588">
        <f>P31*0.21</f>
        <v/>
      </c>
      <c r="Q32" s="2" t="n"/>
    </row>
    <row r="33" ht="15.75" customHeight="1">
      <c r="A33" s="5" t="inlineStr">
        <is>
          <t>x</t>
        </is>
      </c>
      <c r="B33" s="598" t="inlineStr">
        <is>
          <t>Net income</t>
        </is>
      </c>
      <c r="C33" s="599">
        <f>C31-C32</f>
        <v/>
      </c>
      <c r="D33" s="599">
        <f>D31-D32</f>
        <v/>
      </c>
      <c r="E33" s="599">
        <f>E31-E32</f>
        <v/>
      </c>
      <c r="F33" s="599">
        <f>F31-F32</f>
        <v/>
      </c>
      <c r="G33" s="599">
        <f>G31-G32</f>
        <v/>
      </c>
      <c r="H33" s="599">
        <f>H31-H32</f>
        <v/>
      </c>
      <c r="I33" s="599">
        <f>I31-I32</f>
        <v/>
      </c>
      <c r="J33" s="600">
        <f>J31-J32</f>
        <v/>
      </c>
      <c r="K33" s="601">
        <f>K31-K32</f>
        <v/>
      </c>
      <c r="L33" s="601">
        <f>L31-L32</f>
        <v/>
      </c>
      <c r="M33" s="601">
        <f>M31-M32</f>
        <v/>
      </c>
      <c r="N33" s="601">
        <f>N31-N32</f>
        <v/>
      </c>
      <c r="O33" s="601">
        <f>O31-O32</f>
        <v/>
      </c>
      <c r="P33" s="601">
        <f>P31-P32</f>
        <v/>
      </c>
      <c r="Q33" s="2" t="n"/>
    </row>
    <row r="34" ht="15.75" customHeight="1">
      <c r="A34" s="5" t="n"/>
      <c r="B34" s="578" t="inlineStr">
        <is>
          <t>Dividends paid on redeemable convertible preferred stock</t>
        </is>
      </c>
      <c r="C34" s="586" t="n"/>
      <c r="D34" s="586" t="n"/>
      <c r="E34" s="586" t="n"/>
      <c r="F34" s="586" t="n"/>
      <c r="G34" s="586" t="n"/>
      <c r="H34" s="586" t="n"/>
      <c r="I34" s="586" t="n"/>
      <c r="J34" s="587" t="n"/>
      <c r="K34" s="2" t="n"/>
      <c r="L34" s="2" t="n"/>
      <c r="M34" s="2" t="n"/>
      <c r="N34" s="2" t="n"/>
      <c r="O34" s="2" t="n"/>
      <c r="P34" s="2" t="n"/>
      <c r="Q34" s="2" t="n"/>
    </row>
    <row r="35" ht="15.75" customHeight="1">
      <c r="A35" s="5" t="n"/>
      <c r="B35" s="578" t="inlineStr">
        <is>
          <t>Net loss attributable to redeemable noncontrolling interest</t>
        </is>
      </c>
      <c r="C35" s="586" t="n"/>
      <c r="D35" s="586" t="n"/>
      <c r="E35" s="586" t="n"/>
      <c r="F35" s="586" t="n"/>
      <c r="G35" s="586" t="n">
        <v>0.201</v>
      </c>
      <c r="H35" s="586" t="n"/>
      <c r="I35" s="586" t="n"/>
      <c r="J35" s="587" t="n"/>
      <c r="K35" s="2" t="n"/>
      <c r="L35" s="2" t="n"/>
      <c r="M35" s="2" t="n"/>
      <c r="N35" s="2" t="n"/>
      <c r="O35" s="2" t="n"/>
      <c r="P35" s="2" t="n"/>
      <c r="Q35" s="2" t="n"/>
    </row>
    <row r="36" ht="15.75" customHeight="1">
      <c r="A36" s="5" t="n"/>
      <c r="B36" s="578" t="inlineStr">
        <is>
          <t>Cumulative dividend on redeemable convertible preferred stock</t>
        </is>
      </c>
      <c r="C36" s="586" t="n"/>
      <c r="D36" s="586" t="n"/>
      <c r="E36" s="586" t="n"/>
      <c r="F36" s="586" t="n"/>
      <c r="G36" s="586" t="n"/>
      <c r="H36" s="586" t="n"/>
      <c r="I36" s="586" t="n"/>
      <c r="J36" s="587" t="n"/>
      <c r="K36" s="2" t="n"/>
      <c r="L36" s="2" t="n"/>
      <c r="M36" s="2" t="n"/>
      <c r="N36" s="2" t="n"/>
      <c r="O36" s="2" t="n"/>
      <c r="P36" s="2" t="n"/>
      <c r="Q36" s="2" t="n"/>
    </row>
    <row r="37" ht="15.75" customHeight="1">
      <c r="A37" s="5" t="n"/>
      <c r="B37" s="578" t="inlineStr">
        <is>
          <t>Dividends paid to participating securities</t>
        </is>
      </c>
      <c r="C37" s="586" t="n">
        <v>-18.987</v>
      </c>
      <c r="D37" s="586" t="n"/>
      <c r="E37" s="586" t="n"/>
      <c r="F37" s="586" t="n"/>
      <c r="G37" s="586" t="n"/>
      <c r="H37" s="586" t="n"/>
      <c r="I37" s="586" t="n"/>
      <c r="J37" s="587" t="n"/>
      <c r="K37" s="2" t="n"/>
      <c r="L37" s="2" t="n"/>
      <c r="M37" s="2" t="n"/>
      <c r="N37" s="2" t="n"/>
      <c r="O37" s="2" t="n"/>
      <c r="P37" s="2" t="n"/>
      <c r="Q37" s="2" t="n"/>
    </row>
    <row r="38" ht="15.75" customHeight="1">
      <c r="A38" s="5" t="n"/>
      <c r="B38" s="578" t="inlineStr">
        <is>
          <t>Income allocated to participating securities</t>
        </is>
      </c>
      <c r="C38" s="586" t="n">
        <v>0</v>
      </c>
      <c r="D38" s="586" t="n">
        <v>-0.012</v>
      </c>
      <c r="E38" s="586" t="n">
        <v>-0.013</v>
      </c>
      <c r="F38" s="586" t="n">
        <v>-0.003</v>
      </c>
      <c r="G38" s="586" t="n"/>
      <c r="H38" s="586" t="n"/>
      <c r="I38" s="586" t="n"/>
      <c r="J38" s="587" t="n"/>
      <c r="K38" s="2" t="n"/>
      <c r="L38" s="2" t="n"/>
      <c r="M38" s="2" t="n"/>
      <c r="N38" s="2" t="n"/>
      <c r="O38" s="2" t="n"/>
      <c r="P38" s="2" t="n"/>
      <c r="Q38" s="2" t="n"/>
    </row>
    <row r="39" ht="15.75" customHeight="1">
      <c r="A39" s="5" t="inlineStr">
        <is>
          <t>x</t>
        </is>
      </c>
      <c r="B39" s="598" t="inlineStr">
        <is>
          <t>Net income attributable to common stockholders</t>
        </is>
      </c>
      <c r="C39" s="602">
        <f>C33+SUM(C34:C38)</f>
        <v/>
      </c>
      <c r="D39" s="602">
        <f>D33+SUM(D34:D38)</f>
        <v/>
      </c>
      <c r="E39" s="602">
        <f>E33+SUM(E34:E38)</f>
        <v/>
      </c>
      <c r="F39" s="602">
        <f>F33+SUM(F34:F38)</f>
        <v/>
      </c>
      <c r="G39" s="602">
        <f>G33+SUM(G34:G38)</f>
        <v/>
      </c>
      <c r="H39" s="602">
        <f>H33+SUM(H34:H38)</f>
        <v/>
      </c>
      <c r="I39" s="602">
        <f>I33+SUM(I34:I38)</f>
        <v/>
      </c>
      <c r="J39" s="603">
        <f>J33+SUM(J34:J38)</f>
        <v/>
      </c>
      <c r="K39" s="604">
        <f>K33-SUM(K34:K38)</f>
        <v/>
      </c>
      <c r="L39" s="604">
        <f>L33-SUM(L34:L38)</f>
        <v/>
      </c>
      <c r="M39" s="604">
        <f>M33-SUM(M34:M38)</f>
        <v/>
      </c>
      <c r="N39" s="604">
        <f>N33-SUM(N34:N38)</f>
        <v/>
      </c>
      <c r="O39" s="604">
        <f>O33-SUM(O34:O38)</f>
        <v/>
      </c>
      <c r="P39" s="604">
        <f>P33-SUM(P34:P38)</f>
        <v/>
      </c>
      <c r="Q39" s="2" t="n"/>
    </row>
    <row r="40" ht="15.75" customHeight="1">
      <c r="A40" s="2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2" t="n"/>
    </row>
    <row r="41" ht="15.75" customHeight="1">
      <c r="A41" s="55" t="n"/>
      <c r="B41" s="56" t="n"/>
      <c r="C41" s="57" t="n"/>
      <c r="D41" s="57" t="n"/>
      <c r="E41" s="57" t="n"/>
      <c r="F41" s="57" t="n"/>
      <c r="G41" s="605" t="n"/>
      <c r="H41" s="57" t="n"/>
      <c r="I41" s="57" t="n"/>
      <c r="J41" s="57" t="n"/>
      <c r="K41" s="57" t="n"/>
      <c r="L41" s="605" t="n"/>
      <c r="M41" s="57" t="n"/>
      <c r="N41" s="57" t="n"/>
      <c r="O41" s="57" t="n"/>
      <c r="P41" s="57" t="n"/>
      <c r="Q41" s="55" t="n"/>
    </row>
    <row r="42" ht="15.75" customHeight="1">
      <c r="A42" s="55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5" t="n"/>
    </row>
    <row r="43" ht="15.75" customHeight="1">
      <c r="A43" s="55" t="n"/>
      <c r="B43" s="60" t="n"/>
      <c r="C43" s="606" t="n"/>
      <c r="D43" s="606" t="n"/>
      <c r="E43" s="606" t="n"/>
      <c r="F43" s="606" t="n"/>
      <c r="G43" s="606" t="n"/>
      <c r="H43" s="606" t="n"/>
      <c r="I43" s="606" t="n"/>
      <c r="J43" s="606" t="n"/>
      <c r="K43" s="607" t="n"/>
      <c r="L43" s="607" t="n"/>
      <c r="M43" s="607" t="n"/>
      <c r="N43" s="607" t="n"/>
      <c r="O43" s="607" t="n"/>
      <c r="P43" s="607" t="n"/>
      <c r="Q43" s="55" t="n"/>
    </row>
    <row r="44" ht="15.75" customHeight="1">
      <c r="A44" s="55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5" t="n"/>
    </row>
    <row r="45" ht="15.75" customHeight="1">
      <c r="A45" s="55" t="n"/>
      <c r="B45" s="63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5" t="n"/>
    </row>
    <row r="46" ht="15.75" customHeight="1">
      <c r="A46" s="55" t="n"/>
      <c r="B46" s="59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55" t="n"/>
    </row>
    <row r="47" ht="15.75" customHeight="1">
      <c r="A47" s="55" t="n"/>
      <c r="B47" s="59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55" t="n"/>
    </row>
    <row r="48" ht="15.75" customHeight="1">
      <c r="A48" s="55" t="n"/>
      <c r="B48" s="59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55" t="n"/>
    </row>
    <row r="49" ht="15.75" customHeight="1">
      <c r="A49" s="55" t="n"/>
      <c r="B49" s="59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55" t="n"/>
    </row>
    <row r="50" ht="15.75" customHeight="1">
      <c r="A50" s="55" t="n"/>
      <c r="B50" s="59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55" t="n"/>
    </row>
    <row r="51" ht="15.75" customHeight="1">
      <c r="A51" s="55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5" t="n"/>
    </row>
    <row r="52" ht="15.75" customHeight="1">
      <c r="A52" s="55" t="n"/>
      <c r="B52" s="63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5" t="n"/>
    </row>
    <row r="53" ht="15.75" customHeight="1">
      <c r="A53" s="55" t="n"/>
      <c r="B53" s="59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55" t="n"/>
    </row>
    <row r="54" ht="15.75" customHeight="1">
      <c r="A54" s="55" t="n"/>
      <c r="B54" s="59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55" t="n"/>
    </row>
    <row r="55" ht="15.75" customHeight="1">
      <c r="A55" s="55" t="n"/>
      <c r="B55" s="59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55" t="n"/>
    </row>
    <row r="56" ht="15.75" customHeight="1">
      <c r="A56" s="55" t="n"/>
      <c r="B56" s="59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55" t="n"/>
    </row>
    <row r="57" ht="15.75" customHeight="1">
      <c r="A57" s="55" t="n"/>
      <c r="B57" s="59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55" t="n"/>
    </row>
    <row r="58" ht="15.75" customHeight="1">
      <c r="A58" s="55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5" t="n"/>
    </row>
    <row r="59" ht="15.75" customHeight="1">
      <c r="A59" s="48" t="n"/>
      <c r="B59" s="59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55" t="n"/>
    </row>
    <row r="60" ht="15.75" customHeight="1">
      <c r="A60" s="48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5" t="n"/>
    </row>
    <row r="61" ht="15.75" customHeight="1">
      <c r="A61" s="48" t="n"/>
      <c r="B61" s="66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5" t="n"/>
    </row>
    <row r="62" ht="15.75" customHeight="1">
      <c r="A62" s="48" t="n"/>
      <c r="B62" s="67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55" t="n"/>
    </row>
    <row r="63" ht="15.75" customHeight="1">
      <c r="A63" s="48" t="n"/>
      <c r="B63" s="67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55" t="n"/>
    </row>
    <row r="64" ht="15.75" customHeight="1">
      <c r="A64" s="48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5" t="n"/>
    </row>
    <row r="65" ht="15.75" customHeight="1">
      <c r="A65" s="48" t="n"/>
      <c r="B65" s="63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5" t="n"/>
    </row>
    <row r="66" ht="15.75" customHeight="1">
      <c r="A66" s="48" t="n"/>
      <c r="B66" s="67" t="n"/>
      <c r="C66" s="69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55" t="n"/>
    </row>
    <row r="67" ht="15.75" customHeight="1">
      <c r="A67" s="55" t="n"/>
      <c r="B67" s="67" t="n"/>
      <c r="C67" s="69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55" t="n"/>
    </row>
    <row r="68" ht="15.75" customHeight="1">
      <c r="A68" s="55" t="n"/>
      <c r="B68" s="67" t="n"/>
      <c r="C68" s="69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55" t="n"/>
    </row>
    <row r="69" ht="15.75" customHeight="1">
      <c r="A69" s="2" t="n"/>
      <c r="B69" s="49" t="n"/>
      <c r="C69" s="50" t="n"/>
      <c r="D69" s="51" t="n"/>
      <c r="E69" s="51" t="n"/>
      <c r="F69" s="51" t="n"/>
      <c r="G69" s="51" t="n"/>
      <c r="H69" s="51" t="n"/>
      <c r="I69" s="51" t="n"/>
      <c r="J69" s="51" t="n"/>
      <c r="K69" s="55" t="n"/>
      <c r="L69" s="55" t="n"/>
      <c r="M69" s="55" t="n"/>
      <c r="N69" s="55" t="n"/>
      <c r="O69" s="55" t="n"/>
      <c r="P69" s="55" t="n"/>
      <c r="Q69" s="2" t="n"/>
    </row>
    <row r="70" ht="15.75" customHeight="1">
      <c r="A70" s="2" t="n"/>
      <c r="B70" s="49" t="n"/>
      <c r="C70" s="50" t="n"/>
      <c r="D70" s="50" t="n"/>
      <c r="E70" s="50" t="n"/>
      <c r="F70" s="50" t="n"/>
      <c r="G70" s="50" t="n"/>
      <c r="H70" s="5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 ht="15.75" customHeight="1">
      <c r="A71" s="2" t="n"/>
      <c r="B71" s="49" t="n"/>
      <c r="C71" s="50" t="n"/>
      <c r="D71" s="50" t="n"/>
      <c r="E71" s="50" t="n"/>
      <c r="F71" s="50" t="n"/>
      <c r="G71" s="50" t="n"/>
      <c r="H71" s="5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 ht="15.75" customHeight="1">
      <c r="A72" s="2" t="n"/>
      <c r="B72" s="49" t="n"/>
      <c r="C72" s="50" t="n"/>
      <c r="D72" s="50" t="n"/>
      <c r="E72" s="50" t="n"/>
      <c r="F72" s="50" t="n"/>
      <c r="G72" s="50" t="n"/>
      <c r="H72" s="5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 ht="15.75" customHeight="1">
      <c r="A73" s="2" t="n"/>
      <c r="B73" s="49" t="n"/>
      <c r="C73" s="50" t="n"/>
      <c r="D73" s="50" t="n"/>
      <c r="E73" s="50" t="n"/>
      <c r="F73" s="50" t="n"/>
      <c r="G73" s="50" t="n"/>
      <c r="H73" s="50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 ht="15.75" customHeight="1">
      <c r="A74" s="2" t="n"/>
      <c r="B74" s="49" t="n"/>
      <c r="C74" s="50" t="n"/>
      <c r="D74" s="50" t="n"/>
      <c r="E74" s="50" t="n"/>
      <c r="F74" s="50" t="n"/>
      <c r="G74" s="50" t="n"/>
      <c r="H74" s="50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 ht="15.75" customHeight="1">
      <c r="A75" s="2" t="n"/>
      <c r="B75" s="48" t="n"/>
      <c r="C75" s="48" t="n"/>
      <c r="D75" s="48" t="n"/>
      <c r="E75" s="48" t="n"/>
      <c r="F75" s="48" t="n"/>
      <c r="G75" s="48" t="n"/>
      <c r="H75" s="48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 ht="15.75" customHeight="1">
      <c r="A76" s="2" t="n"/>
      <c r="B76" s="48" t="n"/>
      <c r="C76" s="48" t="n"/>
      <c r="D76" s="48" t="n"/>
      <c r="E76" s="48" t="n"/>
      <c r="F76" s="48" t="n"/>
      <c r="G76" s="48" t="n"/>
      <c r="H76" s="48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999"/>
  <sheetViews>
    <sheetView showGridLines="0" workbookViewId="0">
      <selection activeCell="A1" sqref="A1"/>
    </sheetView>
  </sheetViews>
  <sheetFormatPr baseColWidth="10" defaultColWidth="14.5" defaultRowHeight="15" customHeight="1"/>
  <cols>
    <col width="10.83203125" customWidth="1" min="1" max="1"/>
    <col width="114.83203125" bestFit="1" customWidth="1" min="2" max="2"/>
    <col hidden="1" width="10.83203125" customWidth="1" min="3" max="7"/>
    <col width="10.83203125" customWidth="1" min="8" max="37"/>
  </cols>
  <sheetData>
    <row r="1" ht="29" customHeight="1">
      <c r="A1" s="2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608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5" t="inlineStr">
        <is>
          <t>x</t>
        </is>
      </c>
      <c r="B4" s="28" t="inlineStr">
        <is>
          <t>Balance Sheet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" t="n"/>
      <c r="AF4" s="2" t="n"/>
      <c r="AG4" s="2" t="n"/>
      <c r="AH4" s="2" t="n"/>
      <c r="AI4" s="2" t="n"/>
      <c r="AJ4" s="2" t="n"/>
      <c r="AK4" s="2" t="n"/>
    </row>
    <row r="5">
      <c r="A5" s="5" t="n"/>
      <c r="B5" s="1" t="inlineStr">
        <is>
          <t>in $millions, unless otherwise specified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5" t="n"/>
      <c r="B6" s="1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5" t="n"/>
      <c r="B7" s="1" t="inlineStr">
        <is>
          <t xml:space="preserve">Fiscal year ending December 31, </t>
        </is>
      </c>
      <c r="C7" s="574">
        <f>2015</f>
        <v/>
      </c>
      <c r="D7" s="574">
        <f>C7+1</f>
        <v/>
      </c>
      <c r="E7" s="574">
        <f>D7+1</f>
        <v/>
      </c>
      <c r="F7" s="574">
        <f>E7+1</f>
        <v/>
      </c>
      <c r="G7" s="574">
        <f>F7+1</f>
        <v/>
      </c>
      <c r="H7" s="574">
        <f>G7+1</f>
        <v/>
      </c>
      <c r="I7" s="574">
        <f>H7+1</f>
        <v/>
      </c>
      <c r="J7" s="574">
        <f>I7+1</f>
        <v/>
      </c>
      <c r="K7" s="576">
        <f>J7+1</f>
        <v/>
      </c>
      <c r="L7" s="576">
        <f>K7+1</f>
        <v/>
      </c>
      <c r="M7" s="576">
        <f>L7+1</f>
        <v/>
      </c>
      <c r="N7" s="576">
        <f>M7+1</f>
        <v/>
      </c>
      <c r="O7" s="576">
        <f>N7+1</f>
        <v/>
      </c>
      <c r="P7" s="576">
        <f>O7+1</f>
        <v/>
      </c>
      <c r="Q7" s="576">
        <f>P7+1</f>
        <v/>
      </c>
      <c r="R7" s="576">
        <f>Q7+1</f>
        <v/>
      </c>
      <c r="S7" s="576">
        <f>R7+1</f>
        <v/>
      </c>
      <c r="T7" s="576">
        <f>S7+1</f>
        <v/>
      </c>
      <c r="U7" s="576">
        <f>T7+1</f>
        <v/>
      </c>
      <c r="V7" s="576">
        <f>U7+1</f>
        <v/>
      </c>
      <c r="W7" s="576">
        <f>V7+1</f>
        <v/>
      </c>
      <c r="X7" s="576">
        <f>W7+1</f>
        <v/>
      </c>
      <c r="Y7" s="576">
        <f>X7+1</f>
        <v/>
      </c>
      <c r="Z7" s="576">
        <f>Y7+1</f>
        <v/>
      </c>
      <c r="AA7" s="576">
        <f>Z7+1</f>
        <v/>
      </c>
      <c r="AB7" s="576">
        <f>AA7+1</f>
        <v/>
      </c>
      <c r="AC7" s="576">
        <f>AB7+1</f>
        <v/>
      </c>
      <c r="AD7" s="576">
        <f>AC7+1</f>
        <v/>
      </c>
      <c r="AE7" s="2" t="n"/>
      <c r="AF7" s="2" t="n"/>
      <c r="AG7" s="2" t="n"/>
      <c r="AH7" s="2" t="n"/>
      <c r="AI7" s="2" t="n"/>
      <c r="AJ7" s="2" t="n"/>
      <c r="A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n"/>
      <c r="B9" s="577" t="inlineStr">
        <is>
          <t>Assets</t>
        </is>
      </c>
      <c r="C9" s="577" t="n"/>
      <c r="D9" s="577" t="inlineStr">
        <is>
          <t>Current Assets</t>
        </is>
      </c>
      <c r="E9" s="577" t="inlineStr">
        <is>
          <t>Current Assets</t>
        </is>
      </c>
      <c r="F9" s="577" t="inlineStr">
        <is>
          <t>Current Assets</t>
        </is>
      </c>
      <c r="G9" s="577" t="inlineStr">
        <is>
          <t>Current Assets</t>
        </is>
      </c>
      <c r="H9" s="2" t="n"/>
      <c r="I9" s="2" t="n"/>
      <c r="J9" s="2" t="n"/>
      <c r="K9" s="588" t="n"/>
      <c r="L9" s="588" t="n"/>
      <c r="M9" s="588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n"/>
      <c r="B10" s="609" t="inlineStr">
        <is>
          <t>Current assets:</t>
        </is>
      </c>
      <c r="C10" s="579" t="n"/>
      <c r="D10" s="579" t="n">
        <v>140.634</v>
      </c>
      <c r="E10" s="579" t="n">
        <v>96.32899999999999</v>
      </c>
      <c r="F10" s="579" t="n">
        <v>146.061</v>
      </c>
      <c r="G10" s="579" t="n">
        <v>119.629</v>
      </c>
      <c r="H10" s="579" t="n"/>
      <c r="I10" s="579" t="n"/>
      <c r="J10" s="579" t="n"/>
      <c r="K10" s="580" t="n"/>
      <c r="L10" s="580" t="n"/>
      <c r="M10" s="580" t="n"/>
      <c r="N10" s="580" t="n"/>
      <c r="O10" s="580" t="n"/>
      <c r="P10" s="580" t="n"/>
      <c r="Q10" s="580" t="n"/>
      <c r="R10" s="580" t="n"/>
      <c r="S10" s="580" t="n"/>
      <c r="T10" s="580" t="n"/>
      <c r="U10" s="580" t="n"/>
      <c r="V10" s="580" t="n"/>
      <c r="W10" s="580" t="n"/>
      <c r="X10" s="580" t="n"/>
      <c r="Y10" s="580" t="n"/>
      <c r="Z10" s="580">
        <f>CFS!#REF!</f>
        <v/>
      </c>
      <c r="AA10" s="580">
        <f>CFS!#REF!</f>
        <v/>
      </c>
      <c r="AB10" s="580">
        <f>CFS!#REF!</f>
        <v/>
      </c>
      <c r="AC10" s="580">
        <f>CFS!#REF!</f>
        <v/>
      </c>
      <c r="AD10" s="580">
        <f>CFS!#REF!</f>
        <v/>
      </c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n"/>
      <c r="B11" s="578" t="inlineStr">
        <is>
          <t>Cash and cash equivalents</t>
        </is>
      </c>
      <c r="C11" s="579" t="n">
        <v>17505002</v>
      </c>
      <c r="D11" s="579" t="n">
        <v>29.81</v>
      </c>
      <c r="E11" s="579" t="n">
        <v>40.634</v>
      </c>
      <c r="F11" s="579" t="n">
        <v>49.51</v>
      </c>
      <c r="G11" s="579" t="n">
        <v>76.373</v>
      </c>
      <c r="H11" s="579" t="n">
        <v>2.9317</v>
      </c>
      <c r="I11" s="579" t="n">
        <v>130.188</v>
      </c>
      <c r="J11" s="579" t="n">
        <v>147.188</v>
      </c>
      <c r="K11" s="580" t="n"/>
      <c r="L11" s="580" t="n"/>
      <c r="M11" s="580" t="n"/>
      <c r="N11" s="580" t="n"/>
      <c r="O11" s="580" t="n"/>
      <c r="P11" s="580" t="n"/>
      <c r="Q11" s="580" t="n"/>
      <c r="R11" s="580" t="n"/>
      <c r="S11" s="580" t="n"/>
      <c r="T11" s="580" t="n"/>
      <c r="U11" s="580" t="n"/>
      <c r="V11" s="580" t="n"/>
      <c r="W11" s="580" t="n"/>
      <c r="X11" s="580" t="n"/>
      <c r="Y11" s="580" t="n"/>
      <c r="Z11" s="580">
        <f>(('Costs &amp; Expenses Build'!#REF!/365)*'Costs &amp; Expenses Build'!#REF!)</f>
        <v/>
      </c>
      <c r="AA11" s="580">
        <f>(('Costs &amp; Expenses Build'!#REF!/365)*'Costs &amp; Expenses Build'!#REF!)</f>
        <v/>
      </c>
      <c r="AB11" s="580">
        <f>(('Costs &amp; Expenses Build'!#REF!/365)*'Costs &amp; Expenses Build'!#REF!)</f>
        <v/>
      </c>
      <c r="AC11" s="580">
        <f>(('Costs &amp; Expenses Build'!#REF!/365)*'Costs &amp; Expenses Build'!#REF!)</f>
        <v/>
      </c>
      <c r="AD11" s="580">
        <f>(('Costs &amp; Expenses Build'!#REF!/365)*'Costs &amp; Expenses Build'!#REF!)</f>
        <v/>
      </c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n"/>
      <c r="B12" s="578" t="inlineStr">
        <is>
          <t>Accounts receivable, net of allowance for doubtful accounts of $1,652,000 and $1,545,000 as of December 31, 2020 and 2019</t>
        </is>
      </c>
      <c r="C12" s="579" t="n">
        <v>51867653</v>
      </c>
      <c r="D12" s="579" t="n">
        <v>10.543</v>
      </c>
      <c r="E12" s="579" t="n">
        <v>14.177</v>
      </c>
      <c r="F12" s="579" t="n">
        <v>22.99</v>
      </c>
      <c r="G12" s="579" t="n">
        <v>34.168</v>
      </c>
      <c r="H12" s="579" t="n">
        <v>50.215</v>
      </c>
      <c r="I12" s="579" t="n">
        <v>42.571</v>
      </c>
      <c r="J12" s="579" t="n">
        <v>28.273</v>
      </c>
      <c r="K12" s="580" t="n"/>
      <c r="L12" s="580" t="n"/>
      <c r="M12" s="580" t="n"/>
      <c r="N12" s="580" t="n"/>
      <c r="O12" s="580" t="n"/>
      <c r="P12" s="580" t="n"/>
      <c r="Q12" s="580" t="n"/>
      <c r="R12" s="580" t="n"/>
      <c r="S12" s="580" t="n"/>
      <c r="T12" s="580" t="n"/>
      <c r="U12" s="580" t="n"/>
      <c r="V12" s="580" t="n"/>
      <c r="W12" s="580" t="n"/>
      <c r="X12" s="580" t="n"/>
      <c r="Y12" s="580" t="n"/>
      <c r="Z12" s="580">
        <f>(('Costs &amp; Expenses Build'!#REF!/365)*'Costs &amp; Expenses Build'!#REF!)</f>
        <v/>
      </c>
      <c r="AA12" s="580">
        <f>(('Costs &amp; Expenses Build'!#REF!/365)*'Costs &amp; Expenses Build'!#REF!)</f>
        <v/>
      </c>
      <c r="AB12" s="580">
        <f>(('Costs &amp; Expenses Build'!#REF!/365)*'Costs &amp; Expenses Build'!#REF!)</f>
        <v/>
      </c>
      <c r="AC12" s="580">
        <f>(('Costs &amp; Expenses Build'!#REF!/365)*'Costs &amp; Expenses Build'!#REF!)</f>
        <v/>
      </c>
      <c r="AD12" s="580">
        <f>(('Costs &amp; Expenses Build'!#REF!/365)*'Costs &amp; Expenses Build'!#REF!)</f>
        <v/>
      </c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n"/>
      <c r="B13" s="578" t="inlineStr">
        <is>
          <t>Inventory:</t>
        </is>
      </c>
      <c r="C13" s="579" t="n"/>
      <c r="D13" s="579" t="n"/>
      <c r="E13" s="579" t="n"/>
      <c r="F13" s="579" t="n"/>
      <c r="G13" s="579" t="n"/>
      <c r="H13" s="579" t="n"/>
      <c r="I13" s="579" t="n">
        <v>0</v>
      </c>
      <c r="J13" s="579" t="n">
        <v>0</v>
      </c>
      <c r="K13" s="580" t="n"/>
      <c r="L13" s="580" t="n"/>
      <c r="M13" s="580" t="n"/>
      <c r="N13" s="580" t="n"/>
      <c r="O13" s="580" t="n"/>
      <c r="P13" s="580" t="n"/>
      <c r="Q13" s="580" t="n"/>
      <c r="R13" s="580" t="n"/>
      <c r="S13" s="580" t="n"/>
      <c r="T13" s="580" t="n"/>
      <c r="U13" s="580" t="n"/>
      <c r="V13" s="580" t="n"/>
      <c r="W13" s="580" t="n"/>
      <c r="X13" s="580" t="n"/>
      <c r="Y13" s="580" t="n"/>
      <c r="Z13" s="580">
        <f>Y13</f>
        <v/>
      </c>
      <c r="AA13" s="580">
        <f>Z13</f>
        <v/>
      </c>
      <c r="AB13" s="580">
        <f>AA13</f>
        <v/>
      </c>
      <c r="AC13" s="580">
        <f>AB13</f>
        <v/>
      </c>
      <c r="AD13" s="580">
        <f>AC13</f>
        <v/>
      </c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n"/>
      <c r="B14" s="578" t="inlineStr">
        <is>
          <t>Aircraft, airframes, engines, and parts, net</t>
        </is>
      </c>
      <c r="C14" s="579" t="n">
        <v>57918723</v>
      </c>
      <c r="D14" s="579" t="n">
        <v>9.196999999999999</v>
      </c>
      <c r="E14" s="579" t="n">
        <v>12.796</v>
      </c>
      <c r="F14" s="579" t="n">
        <v>9.502000000000001</v>
      </c>
      <c r="G14" s="579" t="n">
        <v>13.504</v>
      </c>
      <c r="H14" s="579" t="n">
        <v>85.19199999999999</v>
      </c>
      <c r="I14" s="579" t="n">
        <v>81.759</v>
      </c>
      <c r="J14" s="579" t="n">
        <v>117.488</v>
      </c>
      <c r="K14" s="580" t="n"/>
      <c r="L14" s="580" t="n"/>
      <c r="M14" s="580" t="n"/>
      <c r="N14" s="580" t="n"/>
      <c r="O14" s="580" t="n"/>
      <c r="P14" s="580" t="n"/>
      <c r="Q14" s="580" t="n"/>
      <c r="R14" s="580" t="n"/>
      <c r="S14" s="580" t="n"/>
      <c r="T14" s="580" t="n"/>
      <c r="U14" s="580" t="n"/>
      <c r="V14" s="580" t="n"/>
      <c r="W14" s="580" t="n"/>
      <c r="X14" s="580" t="n"/>
      <c r="Y14" s="580" t="n"/>
      <c r="Z14" s="580">
        <f>'Costs &amp; Expenses Build'!#REF!</f>
        <v/>
      </c>
      <c r="AA14" s="580">
        <f>'Costs &amp; Expenses Build'!#REF!</f>
        <v/>
      </c>
      <c r="AB14" s="580">
        <f>'Costs &amp; Expenses Build'!#REF!</f>
        <v/>
      </c>
      <c r="AC14" s="580">
        <f>'Costs &amp; Expenses Build'!#REF!</f>
        <v/>
      </c>
      <c r="AD14" s="580">
        <f>'Costs &amp; Expenses Build'!#REF!</f>
        <v/>
      </c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n"/>
      <c r="B15" s="589" t="inlineStr">
        <is>
          <t>Advance vendor payments</t>
        </is>
      </c>
      <c r="C15" s="610" t="n">
        <v>3247255</v>
      </c>
      <c r="D15" s="610">
        <f>SUM(D10:D14)</f>
        <v/>
      </c>
      <c r="E15" s="610">
        <f>SUM(E10:E14)</f>
        <v/>
      </c>
      <c r="F15" s="610">
        <f>SUM(F10:F14)</f>
        <v/>
      </c>
      <c r="G15" s="610">
        <f>SUM(G10:G14)</f>
        <v/>
      </c>
      <c r="H15" s="610" t="n">
        <v>6.205</v>
      </c>
      <c r="I15" s="610" t="n">
        <v>14.287</v>
      </c>
      <c r="J15" s="610" t="n">
        <v>27.585</v>
      </c>
      <c r="K15" s="611" t="n"/>
      <c r="L15" s="611" t="n"/>
      <c r="M15" s="611" t="n"/>
      <c r="N15" s="611" t="n"/>
      <c r="O15" s="611" t="n"/>
      <c r="P15" s="611" t="n"/>
      <c r="Q15" s="611" t="n"/>
      <c r="R15" s="611" t="n"/>
      <c r="S15" s="611" t="n"/>
      <c r="T15" s="611" t="n"/>
      <c r="U15" s="611" t="n"/>
      <c r="V15" s="611" t="n"/>
      <c r="W15" s="611" t="n"/>
      <c r="X15" s="611" t="n"/>
      <c r="Y15" s="611" t="n"/>
      <c r="Z15" s="611">
        <f>SUM(Z10:Z14)</f>
        <v/>
      </c>
      <c r="AA15" s="611">
        <f>SUM(AA10:AA14)</f>
        <v/>
      </c>
      <c r="AB15" s="611">
        <f>SUM(AB10:AB14)</f>
        <v/>
      </c>
      <c r="AC15" s="611">
        <f>SUM(AC10:AC14)</f>
        <v/>
      </c>
      <c r="AD15" s="611">
        <f>SUM(AD10:AD14)</f>
        <v/>
      </c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n"/>
      <c r="B16" s="583" t="inlineStr">
        <is>
          <t>Due from related party</t>
        </is>
      </c>
      <c r="C16" s="579" t="n">
        <v>6130990</v>
      </c>
      <c r="D16" s="579" t="n"/>
      <c r="E16" s="579" t="n"/>
      <c r="F16" s="579" t="n"/>
      <c r="G16" s="579" t="n"/>
      <c r="H16" s="579" t="n">
        <v>0.474</v>
      </c>
      <c r="I16" s="579" t="n">
        <v>0</v>
      </c>
      <c r="J16" s="579" t="n">
        <v>0</v>
      </c>
      <c r="K16" s="580" t="n"/>
      <c r="L16" s="580" t="n"/>
      <c r="M16" s="580" t="n"/>
      <c r="N16" s="580" t="n"/>
      <c r="O16" s="580" t="n"/>
      <c r="P16" s="580" t="n"/>
      <c r="Q16" s="580" t="n"/>
      <c r="R16" s="580" t="n"/>
      <c r="S16" s="580" t="n"/>
      <c r="T16" s="580" t="n"/>
      <c r="U16" s="580" t="n"/>
      <c r="V16" s="580" t="n"/>
      <c r="W16" s="580" t="n"/>
      <c r="X16" s="580" t="n"/>
      <c r="Y16" s="580" t="n"/>
      <c r="Z16" s="580" t="n"/>
      <c r="AA16" s="580" t="n"/>
      <c r="AB16" s="580" t="n"/>
      <c r="AC16" s="580" t="n"/>
      <c r="AD16" s="580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n"/>
      <c r="B17" s="612" t="inlineStr">
        <is>
          <t>Deposits, prepaid expenses, and other current assets</t>
        </is>
      </c>
      <c r="C17" s="579" t="n">
        <v>5116175</v>
      </c>
      <c r="D17" s="579" t="n"/>
      <c r="E17" s="579" t="n"/>
      <c r="F17" s="579" t="n"/>
      <c r="G17" s="579" t="n"/>
      <c r="H17" s="579" t="n">
        <v>7.56</v>
      </c>
      <c r="I17" s="579" t="n">
        <v>2.724</v>
      </c>
      <c r="J17" s="579" t="n">
        <v>13.022</v>
      </c>
      <c r="K17" s="580" t="n"/>
      <c r="L17" s="580" t="n"/>
      <c r="M17" s="580" t="n"/>
      <c r="N17" s="580" t="n"/>
      <c r="O17" s="580" t="n"/>
      <c r="P17" s="580" t="n"/>
      <c r="Q17" s="580" t="n"/>
      <c r="R17" s="580" t="n"/>
      <c r="S17" s="580" t="n"/>
      <c r="T17" s="580" t="n"/>
      <c r="U17" s="580" t="n"/>
      <c r="V17" s="580" t="n"/>
      <c r="W17" s="580" t="n"/>
      <c r="X17" s="580" t="n"/>
      <c r="Y17" s="580" t="n"/>
      <c r="Z17" s="580" t="n"/>
      <c r="AA17" s="580" t="n"/>
      <c r="AB17" s="580" t="n"/>
      <c r="AC17" s="580" t="n"/>
      <c r="AD17" s="580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n"/>
      <c r="B18" s="578" t="inlineStr">
        <is>
          <t>Total current assets</t>
        </is>
      </c>
      <c r="C18" s="579" t="n">
        <v>141785798</v>
      </c>
      <c r="D18" s="579" t="n">
        <v>20.18</v>
      </c>
      <c r="E18" s="579" t="n">
        <v>23.459</v>
      </c>
      <c r="F18" s="579" t="n">
        <v>27.757</v>
      </c>
      <c r="G18" s="579" t="n">
        <v>38.548</v>
      </c>
      <c r="H18" s="579" t="n">
        <v>178.963</v>
      </c>
      <c r="I18" s="579" t="n">
        <v>271.529</v>
      </c>
      <c r="J18" s="579" t="n">
        <v>333.556</v>
      </c>
      <c r="K18" s="580" t="n"/>
      <c r="L18" s="580" t="n"/>
      <c r="M18" s="580" t="n"/>
      <c r="N18" s="580" t="n"/>
      <c r="O18" s="580" t="n"/>
      <c r="P18" s="580" t="n"/>
      <c r="Q18" s="580" t="n"/>
      <c r="R18" s="580" t="n"/>
      <c r="S18" s="580" t="n"/>
      <c r="T18" s="580" t="n"/>
      <c r="U18" s="580" t="n"/>
      <c r="V18" s="580" t="n"/>
      <c r="W18" s="580" t="n"/>
      <c r="X18" s="580" t="n"/>
      <c r="Y18" s="580" t="n"/>
      <c r="Z18" s="580">
        <f>#REF!</f>
        <v/>
      </c>
      <c r="AA18" s="580">
        <f>#REF!</f>
        <v/>
      </c>
      <c r="AB18" s="580">
        <f>#REF!</f>
        <v/>
      </c>
      <c r="AC18" s="580">
        <f>#REF!</f>
        <v/>
      </c>
      <c r="AD18" s="580">
        <f>#REF!</f>
        <v/>
      </c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n"/>
      <c r="B19" s="578" t="inlineStr">
        <is>
          <t>Fixed assets:</t>
        </is>
      </c>
      <c r="C19" s="579" t="n"/>
      <c r="D19" s="579" t="n">
        <v>4.568</v>
      </c>
      <c r="E19" s="579" t="n">
        <v>94.286</v>
      </c>
      <c r="F19" s="579" t="n">
        <v>79.06699999999999</v>
      </c>
      <c r="G19" s="579" t="n">
        <v>103.438</v>
      </c>
      <c r="H19" s="579" t="n"/>
      <c r="I19" s="579" t="n">
        <v>0</v>
      </c>
      <c r="J19" s="579" t="n">
        <v>0</v>
      </c>
      <c r="K19" s="580" t="n"/>
      <c r="L19" s="580" t="n"/>
      <c r="M19" s="580" t="n"/>
      <c r="N19" s="580" t="n"/>
      <c r="O19" s="580" t="n"/>
      <c r="P19" s="580" t="n"/>
      <c r="Q19" s="580" t="n"/>
      <c r="R19" s="580" t="n"/>
      <c r="S19" s="580" t="n"/>
      <c r="T19" s="580" t="n"/>
      <c r="U19" s="580" t="n"/>
      <c r="V19" s="580" t="n"/>
      <c r="W19" s="580" t="n"/>
      <c r="X19" s="580" t="n"/>
      <c r="Y19" s="580" t="n"/>
      <c r="Z19" s="580">
        <f>#REF!</f>
        <v/>
      </c>
      <c r="AA19" s="580">
        <f>#REF!</f>
        <v/>
      </c>
      <c r="AB19" s="580">
        <f>#REF!</f>
        <v/>
      </c>
      <c r="AC19" s="580">
        <f>#REF!</f>
        <v/>
      </c>
      <c r="AD19" s="580">
        <f>#REF!</f>
        <v/>
      </c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n"/>
      <c r="B20" s="578" t="inlineStr">
        <is>
          <t>Aircraft and engines held for lease, net</t>
        </is>
      </c>
      <c r="C20" s="579" t="n">
        <v>111896294</v>
      </c>
      <c r="D20" s="579" t="n">
        <v>24.723</v>
      </c>
      <c r="E20" s="579" t="n">
        <v>63.591</v>
      </c>
      <c r="F20" s="579" t="n">
        <v>63.591</v>
      </c>
      <c r="G20" s="579" t="n">
        <v>104.963</v>
      </c>
      <c r="H20" s="579" t="n">
        <v>86.84399999999999</v>
      </c>
      <c r="I20" s="579" t="n">
        <v>73.364</v>
      </c>
      <c r="J20" s="579" t="n">
        <v>31.288</v>
      </c>
      <c r="K20" s="580" t="n"/>
      <c r="L20" s="580" t="n"/>
      <c r="M20" s="580" t="n"/>
      <c r="N20" s="580" t="n"/>
      <c r="O20" s="580" t="n"/>
      <c r="P20" s="580" t="n"/>
      <c r="Q20" s="580" t="n"/>
      <c r="R20" s="580" t="n"/>
      <c r="S20" s="580" t="n"/>
      <c r="T20" s="580" t="n"/>
      <c r="U20" s="580" t="n"/>
      <c r="V20" s="580" t="n"/>
      <c r="W20" s="580" t="n"/>
      <c r="X20" s="580" t="n"/>
      <c r="Y20" s="580" t="n"/>
      <c r="Z20" s="580">
        <f>Y20</f>
        <v/>
      </c>
      <c r="AA20" s="580">
        <f>Z20</f>
        <v/>
      </c>
      <c r="AB20" s="580">
        <f>AA20</f>
        <v/>
      </c>
      <c r="AC20" s="580">
        <f>AB20</f>
        <v/>
      </c>
      <c r="AD20" s="580">
        <f>AC20</f>
        <v/>
      </c>
      <c r="AE20" s="2" t="n"/>
      <c r="AF20" s="2" t="n"/>
      <c r="AG20" s="2" t="n"/>
      <c r="AH20" s="2" t="n"/>
      <c r="AI20" s="2" t="n"/>
      <c r="AJ20" s="2" t="n"/>
      <c r="AK20" s="2" t="n"/>
    </row>
    <row r="21" ht="15.75" customHeight="1">
      <c r="A21" s="2" t="n"/>
      <c r="B21" s="609" t="inlineStr">
        <is>
          <t>Property and equipment, net</t>
        </is>
      </c>
      <c r="C21" s="579" t="n">
        <v>7461792</v>
      </c>
      <c r="D21" s="579" t="n">
        <v>16.752</v>
      </c>
      <c r="E21" s="579" t="n">
        <v>18.444</v>
      </c>
      <c r="F21" s="579" t="n">
        <v>28.952</v>
      </c>
      <c r="G21" s="579" t="n">
        <v>19.137</v>
      </c>
      <c r="H21" s="579" t="n">
        <v>7.839</v>
      </c>
      <c r="I21" s="579" t="n">
        <v>7.35</v>
      </c>
      <c r="J21" s="579" t="n">
        <v>12.638</v>
      </c>
      <c r="K21" s="580" t="n"/>
      <c r="L21" s="580" t="n"/>
      <c r="M21" s="580" t="n"/>
      <c r="N21" s="580" t="n"/>
      <c r="O21" s="580" t="n"/>
      <c r="P21" s="580" t="n"/>
      <c r="Q21" s="580" t="n"/>
      <c r="R21" s="580" t="n"/>
      <c r="S21" s="580" t="n"/>
      <c r="T21" s="580" t="n"/>
      <c r="U21" s="580" t="n"/>
      <c r="V21" s="580" t="n"/>
      <c r="W21" s="580" t="n"/>
      <c r="X21" s="580" t="n"/>
      <c r="Y21" s="580" t="n"/>
      <c r="Z21" s="580">
        <f>Y21</f>
        <v/>
      </c>
      <c r="AA21" s="580">
        <f>Z21</f>
        <v/>
      </c>
      <c r="AB21" s="580">
        <f>AA21</f>
        <v/>
      </c>
      <c r="AC21" s="580">
        <f>AB21</f>
        <v/>
      </c>
      <c r="AD21" s="580">
        <f>AC21</f>
        <v/>
      </c>
      <c r="AE21" s="2" t="n"/>
      <c r="AF21" s="2" t="n"/>
      <c r="AG21" s="2" t="n"/>
      <c r="AH21" s="2" t="n"/>
      <c r="AI21" s="2" t="n"/>
      <c r="AJ21" s="2" t="n"/>
      <c r="AK21" s="2" t="n"/>
    </row>
    <row r="22" ht="15.75" customHeight="1">
      <c r="A22" s="2" t="n"/>
      <c r="B22" s="609" t="inlineStr">
        <is>
          <t>Inventory:</t>
        </is>
      </c>
      <c r="C22" s="579" t="n"/>
      <c r="D22" s="579" t="n"/>
      <c r="E22" s="579" t="n"/>
      <c r="F22" s="579" t="n"/>
      <c r="G22" s="579" t="n">
        <v>30.523</v>
      </c>
      <c r="H22" s="579" t="n"/>
      <c r="I22" s="579" t="n">
        <v>0</v>
      </c>
      <c r="J22" s="579" t="n">
        <v>0</v>
      </c>
      <c r="K22" s="580" t="n"/>
      <c r="L22" s="580" t="n"/>
      <c r="M22" s="580" t="n"/>
      <c r="N22" s="580" t="n"/>
      <c r="O22" s="580" t="n"/>
      <c r="P22" s="580" t="n"/>
      <c r="Q22" s="580" t="n"/>
      <c r="R22" s="580" t="n"/>
      <c r="S22" s="580" t="n"/>
      <c r="T22" s="580" t="n"/>
      <c r="U22" s="580" t="n"/>
      <c r="V22" s="580" t="n"/>
      <c r="W22" s="580" t="n"/>
      <c r="X22" s="580" t="n"/>
      <c r="Y22" s="580" t="n"/>
      <c r="Z22" s="580">
        <f>#REF!</f>
        <v/>
      </c>
      <c r="AA22" s="580">
        <f>#REF!</f>
        <v/>
      </c>
      <c r="AB22" s="580">
        <f>#REF!</f>
        <v/>
      </c>
      <c r="AC22" s="580">
        <f>#REF!</f>
        <v/>
      </c>
      <c r="AD22" s="580">
        <f>#REF!</f>
        <v/>
      </c>
      <c r="AE22" s="2" t="n"/>
      <c r="AF22" s="2" t="n"/>
      <c r="AG22" s="2" t="n"/>
      <c r="AH22" s="2" t="n"/>
      <c r="AI22" s="2" t="n"/>
      <c r="AJ22" s="2" t="n"/>
      <c r="AK22" s="2" t="n"/>
    </row>
    <row r="23" ht="15.75" customHeight="1">
      <c r="A23" s="2" t="n"/>
      <c r="B23" s="578" t="inlineStr">
        <is>
          <t>Aircraft, airframes, engines, and parts, net</t>
        </is>
      </c>
      <c r="C23" s="579" t="n">
        <v>37043804</v>
      </c>
      <c r="D23" s="579" t="n">
        <v>4.838</v>
      </c>
      <c r="E23" s="579" t="n">
        <v>7.925</v>
      </c>
      <c r="F23" s="579" t="n">
        <v>13.555</v>
      </c>
      <c r="G23" s="579" t="n">
        <v>17.516</v>
      </c>
      <c r="H23" s="579" t="n">
        <v>55.463</v>
      </c>
      <c r="I23" s="579" t="n">
        <v>77.53400000000001</v>
      </c>
      <c r="J23" s="579" t="n">
        <v>66.042</v>
      </c>
      <c r="K23" s="580" t="n"/>
      <c r="L23" s="580" t="n"/>
      <c r="M23" s="580" t="n"/>
      <c r="N23" s="580" t="n"/>
      <c r="O23" s="580" t="n"/>
      <c r="P23" s="580" t="n"/>
      <c r="Q23" s="580" t="n"/>
      <c r="R23" s="580" t="n"/>
      <c r="S23" s="580" t="n"/>
      <c r="T23" s="580" t="n"/>
      <c r="U23" s="580" t="n"/>
      <c r="V23" s="580" t="n"/>
      <c r="W23" s="580" t="n"/>
      <c r="X23" s="580" t="n"/>
      <c r="Y23" s="580" t="n"/>
      <c r="Z23" s="580">
        <f>#REF!</f>
        <v/>
      </c>
      <c r="AA23" s="580">
        <f>#REF!</f>
        <v/>
      </c>
      <c r="AB23" s="580">
        <f>#REF!</f>
        <v/>
      </c>
      <c r="AC23" s="580">
        <f>#REF!</f>
        <v/>
      </c>
      <c r="AD23" s="580">
        <f>#REF!</f>
        <v/>
      </c>
      <c r="AE23" s="2" t="n"/>
      <c r="AF23" s="2" t="n"/>
      <c r="AG23" s="2" t="n"/>
      <c r="AH23" s="2" t="n"/>
      <c r="AI23" s="2" t="n"/>
      <c r="AJ23" s="2" t="n"/>
      <c r="AK23" s="2" t="n"/>
    </row>
    <row r="24" ht="15.75" customHeight="1">
      <c r="A24" s="2" t="n"/>
      <c r="B24" s="589" t="inlineStr">
        <is>
          <t>Operating lease right-of-use assets</t>
        </is>
      </c>
      <c r="C24" s="610" t="n"/>
      <c r="D24" s="610">
        <f>SUM(D18:D23)</f>
        <v/>
      </c>
      <c r="E24" s="610">
        <f>SUM(E18:E23)</f>
        <v/>
      </c>
      <c r="F24" s="610">
        <f>SUM(F18:F23)</f>
        <v/>
      </c>
      <c r="G24" s="610">
        <f>SUM(G18:G23)</f>
        <v/>
      </c>
      <c r="H24" s="610" t="n"/>
      <c r="I24" s="610" t="n">
        <v>0</v>
      </c>
      <c r="J24" s="610" t="n">
        <v>31.624</v>
      </c>
      <c r="K24" s="611" t="n"/>
      <c r="L24" s="611" t="n"/>
      <c r="M24" s="611" t="n"/>
      <c r="N24" s="611" t="n"/>
      <c r="O24" s="611" t="n"/>
      <c r="P24" s="611" t="n"/>
      <c r="Q24" s="611" t="n"/>
      <c r="R24" s="611" t="n"/>
      <c r="S24" s="611" t="n"/>
      <c r="T24" s="611" t="n"/>
      <c r="U24" s="611" t="n"/>
      <c r="V24" s="611" t="n"/>
      <c r="W24" s="611" t="n"/>
      <c r="X24" s="611" t="n"/>
      <c r="Y24" s="611" t="n"/>
      <c r="Z24" s="611">
        <f>SUM(Z18:Z23)</f>
        <v/>
      </c>
      <c r="AA24" s="611">
        <f>SUM(AA18:AA23)</f>
        <v/>
      </c>
      <c r="AB24" s="611">
        <f>SUM(AB18:AB23)</f>
        <v/>
      </c>
      <c r="AC24" s="611">
        <f>SUM(AC18:AC23)</f>
        <v/>
      </c>
      <c r="AD24" s="611">
        <f>SUM(AD18:AD23)</f>
        <v/>
      </c>
      <c r="AE24" s="2" t="n"/>
      <c r="AF24" s="2" t="n"/>
      <c r="AG24" s="2" t="n"/>
      <c r="AH24" s="2" t="n"/>
      <c r="AI24" s="2" t="n"/>
      <c r="AJ24" s="2" t="n"/>
      <c r="AK24" s="2" t="n"/>
    </row>
    <row r="25" ht="15.75" customHeight="1">
      <c r="A25" s="2" t="n"/>
      <c r="B25" s="577" t="inlineStr">
        <is>
          <t>Deferred income taxes</t>
        </is>
      </c>
      <c r="C25" s="584" t="n">
        <v>4753679</v>
      </c>
      <c r="D25" s="584">
        <f>D15+D24</f>
        <v/>
      </c>
      <c r="E25" s="584">
        <f>E15+E24</f>
        <v/>
      </c>
      <c r="F25" s="584">
        <f>F15+F24</f>
        <v/>
      </c>
      <c r="G25" s="584">
        <f>G15+G24</f>
        <v/>
      </c>
      <c r="H25" s="584" t="n">
        <v>5.708</v>
      </c>
      <c r="I25" s="584" t="n">
        <v>10.013</v>
      </c>
      <c r="J25" s="584" t="n">
        <v>11.287</v>
      </c>
      <c r="K25" s="580" t="n"/>
      <c r="L25" s="580" t="n"/>
      <c r="M25" s="580" t="n"/>
      <c r="N25" s="580" t="n"/>
      <c r="O25" s="580" t="n"/>
      <c r="P25" s="580" t="n"/>
      <c r="Q25" s="580" t="n"/>
      <c r="R25" s="580" t="n"/>
      <c r="S25" s="580" t="n"/>
      <c r="T25" s="580" t="n"/>
      <c r="U25" s="580" t="n"/>
      <c r="V25" s="580" t="n"/>
      <c r="W25" s="580" t="n"/>
      <c r="X25" s="580" t="n"/>
      <c r="Y25" s="580" t="n"/>
      <c r="Z25" s="580">
        <f>SUM(Z24,Z15)</f>
        <v/>
      </c>
      <c r="AA25" s="580">
        <f>SUM(AA24,AA15)</f>
        <v/>
      </c>
      <c r="AB25" s="580">
        <f>SUM(AB24,AB15)</f>
        <v/>
      </c>
      <c r="AC25" s="580">
        <f>SUM(AC24,AC15)</f>
        <v/>
      </c>
      <c r="AD25" s="580">
        <f>SUM(AD24,AD15)</f>
        <v/>
      </c>
      <c r="AE25" s="2" t="n"/>
      <c r="AF25" s="2" t="n"/>
      <c r="AG25" s="2" t="n"/>
      <c r="AH25" s="2" t="n"/>
      <c r="AI25" s="2" t="n"/>
      <c r="AJ25" s="2" t="n"/>
      <c r="AK25" s="2" t="n"/>
    </row>
    <row r="26" ht="15.75" customHeight="1">
      <c r="A26" s="2" t="n"/>
      <c r="B26" s="583" t="inlineStr">
        <is>
          <t>Deferred financing costs, net</t>
        </is>
      </c>
      <c r="C26" s="579" t="n">
        <v>1034564</v>
      </c>
      <c r="D26" s="579" t="n"/>
      <c r="E26" s="579" t="n"/>
      <c r="F26" s="579" t="n"/>
      <c r="G26" s="579" t="n"/>
      <c r="H26" s="579" t="n">
        <v>0.367</v>
      </c>
      <c r="I26" s="579" t="n">
        <v>0.999</v>
      </c>
      <c r="J26" s="579" t="n">
        <v>0.544</v>
      </c>
      <c r="K26" s="580" t="n"/>
      <c r="L26" s="580" t="n"/>
      <c r="M26" s="580" t="n"/>
      <c r="N26" s="580" t="n"/>
      <c r="O26" s="580" t="n"/>
      <c r="P26" s="580" t="n"/>
      <c r="Q26" s="580" t="n"/>
      <c r="R26" s="580" t="n"/>
      <c r="S26" s="580" t="n"/>
      <c r="T26" s="580" t="n"/>
      <c r="U26" s="580" t="n"/>
      <c r="V26" s="580" t="n"/>
      <c r="W26" s="580" t="n"/>
      <c r="X26" s="580" t="n"/>
      <c r="Y26" s="580" t="n"/>
      <c r="Z26" s="580" t="n"/>
      <c r="AA26" s="580" t="n"/>
      <c r="AB26" s="580" t="n"/>
      <c r="AC26" s="580" t="n"/>
      <c r="AD26" s="580" t="n"/>
      <c r="AE26" s="2" t="n"/>
      <c r="AF26" s="2" t="n"/>
      <c r="AG26" s="2" t="n"/>
      <c r="AH26" s="2" t="n"/>
      <c r="AI26" s="2" t="n"/>
      <c r="AJ26" s="2" t="n"/>
      <c r="AK26" s="2" t="n"/>
    </row>
    <row r="27" ht="15.75" customHeight="1">
      <c r="A27" s="2" t="n"/>
      <c r="B27" s="577" t="inlineStr">
        <is>
          <t>Deferred customer incentives and other assets, net</t>
        </is>
      </c>
      <c r="C27" s="579" t="n">
        <v>324869</v>
      </c>
      <c r="D27" s="579" t="n"/>
      <c r="E27" s="579" t="n"/>
      <c r="F27" s="579" t="n"/>
      <c r="G27" s="579" t="n"/>
      <c r="H27" s="579" t="n">
        <v>0.271</v>
      </c>
      <c r="I27" s="579" t="n">
        <v>0.598</v>
      </c>
      <c r="J27" s="579" t="n">
        <v>0.628</v>
      </c>
      <c r="K27" s="580" t="n"/>
      <c r="L27" s="580" t="n"/>
      <c r="M27" s="580" t="n"/>
      <c r="N27" s="580" t="n"/>
      <c r="O27" s="580" t="n"/>
      <c r="P27" s="580" t="n"/>
      <c r="Q27" s="580" t="n"/>
      <c r="R27" s="580" t="n"/>
      <c r="S27" s="580" t="n"/>
      <c r="T27" s="580" t="n"/>
      <c r="U27" s="580" t="n"/>
      <c r="V27" s="580" t="n"/>
      <c r="W27" s="580" t="n"/>
      <c r="X27" s="580" t="n"/>
      <c r="Y27" s="580" t="n"/>
      <c r="Z27" s="580" t="n"/>
      <c r="AA27" s="580" t="n"/>
      <c r="AB27" s="580" t="n"/>
      <c r="AC27" s="580" t="n"/>
      <c r="AD27" s="580" t="n"/>
      <c r="AE27" s="2" t="n"/>
      <c r="AF27" s="2" t="n"/>
      <c r="AG27" s="2" t="n"/>
      <c r="AH27" s="2" t="n"/>
      <c r="AI27" s="2" t="n"/>
      <c r="AJ27" s="2" t="n"/>
      <c r="AK27" s="2" t="n"/>
    </row>
    <row r="28" ht="15.75" customHeight="1">
      <c r="A28" s="2" t="n"/>
      <c r="B28" s="578" t="inlineStr">
        <is>
          <t>Due from related party</t>
        </is>
      </c>
      <c r="C28" s="579" t="n">
        <v>5449739</v>
      </c>
      <c r="D28" s="579" t="n">
        <v>18.289</v>
      </c>
      <c r="E28" s="579" t="n">
        <v>17.008</v>
      </c>
      <c r="F28" s="579" t="n">
        <v>20.214</v>
      </c>
      <c r="G28" s="579" t="n">
        <v>32.878</v>
      </c>
      <c r="H28" s="579" t="n">
        <v>5.45</v>
      </c>
      <c r="I28" s="579" t="n">
        <v>0</v>
      </c>
      <c r="J28" s="579" t="n">
        <v>0</v>
      </c>
      <c r="K28" s="580" t="n"/>
      <c r="L28" s="580" t="n"/>
      <c r="M28" s="580" t="n"/>
      <c r="N28" s="580" t="n"/>
      <c r="O28" s="580" t="n"/>
      <c r="P28" s="580" t="n"/>
      <c r="Q28" s="580" t="n"/>
      <c r="R28" s="580" t="n"/>
      <c r="S28" s="580" t="n"/>
      <c r="T28" s="580" t="n"/>
      <c r="U28" s="580" t="n"/>
      <c r="V28" s="580" t="n"/>
      <c r="W28" s="580" t="n"/>
      <c r="X28" s="580" t="n"/>
      <c r="Y28" s="580" t="n"/>
      <c r="Z28" s="580">
        <f>('Costs &amp; Expenses Build'!#REF!/365)*'Costs &amp; Expenses Build'!#REF!</f>
        <v/>
      </c>
      <c r="AA28" s="580">
        <f>('Costs &amp; Expenses Build'!#REF!/365)*'Costs &amp; Expenses Build'!#REF!</f>
        <v/>
      </c>
      <c r="AB28" s="580">
        <f>('Costs &amp; Expenses Build'!#REF!/365)*'Costs &amp; Expenses Build'!#REF!</f>
        <v/>
      </c>
      <c r="AC28" s="580">
        <f>('Costs &amp; Expenses Build'!#REF!/365)*'Costs &amp; Expenses Build'!#REF!</f>
        <v/>
      </c>
      <c r="AD28" s="580">
        <f>('Costs &amp; Expenses Build'!#REF!/365)*'Costs &amp; Expenses Build'!#REF!</f>
        <v/>
      </c>
      <c r="AE28" s="2" t="n"/>
      <c r="AF28" s="2" t="n"/>
      <c r="AG28" s="2" t="n"/>
      <c r="AH28" s="2" t="n"/>
      <c r="AI28" s="2" t="n"/>
      <c r="AJ28" s="2" t="n"/>
      <c r="AK28" s="2" t="n"/>
    </row>
    <row r="29" ht="15.75" customHeight="1">
      <c r="A29" s="2" t="n"/>
      <c r="B29" s="578" t="inlineStr">
        <is>
          <t>Goodwill</t>
        </is>
      </c>
      <c r="C29" s="579" t="n">
        <v>13858551</v>
      </c>
      <c r="D29" s="579" t="n">
        <v>5.298</v>
      </c>
      <c r="E29" s="579" t="n">
        <v>4.301</v>
      </c>
      <c r="F29" s="579" t="n">
        <v>34.557</v>
      </c>
      <c r="G29" s="579" t="n">
        <v>10.092</v>
      </c>
      <c r="H29" s="579" t="n">
        <v>19.86</v>
      </c>
      <c r="I29" s="579" t="n">
        <v>19.86</v>
      </c>
      <c r="J29" s="579" t="n">
        <v>19.86</v>
      </c>
      <c r="K29" s="580" t="n"/>
      <c r="L29" s="580" t="n"/>
      <c r="M29" s="580" t="n"/>
      <c r="N29" s="580" t="n"/>
      <c r="O29" s="580" t="n"/>
      <c r="P29" s="580" t="n"/>
      <c r="Q29" s="580" t="n"/>
      <c r="R29" s="580" t="n"/>
      <c r="S29" s="580" t="n"/>
      <c r="T29" s="580" t="n"/>
      <c r="U29" s="580" t="n"/>
      <c r="V29" s="580" t="n"/>
      <c r="W29" s="580" t="n"/>
      <c r="X29" s="580" t="n"/>
      <c r="Y29" s="580" t="n"/>
      <c r="Z29" s="580">
        <f>'Costs &amp; Expenses Build'!#REF!</f>
        <v/>
      </c>
      <c r="AA29" s="580">
        <f>'Costs &amp; Expenses Build'!#REF!</f>
        <v/>
      </c>
      <c r="AB29" s="580">
        <f>'Costs &amp; Expenses Build'!#REF!</f>
        <v/>
      </c>
      <c r="AC29" s="580">
        <f>'Costs &amp; Expenses Build'!#REF!</f>
        <v/>
      </c>
      <c r="AD29" s="580">
        <f>'Costs &amp; Expenses Build'!#REF!</f>
        <v/>
      </c>
      <c r="AE29" s="2" t="n"/>
      <c r="AF29" s="2" t="n"/>
      <c r="AG29" s="2" t="n"/>
      <c r="AH29" s="2" t="n"/>
      <c r="AI29" s="2" t="n"/>
      <c r="AJ29" s="2" t="n"/>
      <c r="AK29" s="2" t="n"/>
    </row>
    <row r="30" ht="15.75" customHeight="1">
      <c r="A30" s="2" t="n"/>
      <c r="B30" s="578" t="inlineStr">
        <is>
          <t>Other intangible assets, net</t>
        </is>
      </c>
      <c r="C30" s="579" t="n">
        <v>20375166</v>
      </c>
      <c r="D30" s="579" t="n">
        <v>8.814</v>
      </c>
      <c r="E30" s="579" t="n">
        <v>12.127</v>
      </c>
      <c r="F30" s="579" t="n">
        <v>13.484</v>
      </c>
      <c r="G30" s="579" t="n">
        <v>16.342</v>
      </c>
      <c r="H30" s="579" t="n">
        <v>28.364</v>
      </c>
      <c r="I30" s="579" t="n">
        <v>26.238</v>
      </c>
      <c r="J30" s="579" t="n">
        <v>24.112</v>
      </c>
      <c r="K30" s="580" t="n"/>
      <c r="L30" s="580" t="n"/>
      <c r="M30" s="580" t="n"/>
      <c r="N30" s="580" t="n"/>
      <c r="O30" s="580" t="n"/>
      <c r="P30" s="580" t="n"/>
      <c r="Q30" s="580" t="n"/>
      <c r="R30" s="580" t="n"/>
      <c r="S30" s="580" t="n"/>
      <c r="T30" s="580" t="n"/>
      <c r="U30" s="580" t="n"/>
      <c r="V30" s="580" t="n"/>
      <c r="W30" s="580" t="n"/>
      <c r="X30" s="580" t="n"/>
      <c r="Y30" s="580" t="n"/>
      <c r="Z30" s="580">
        <f>'Costs &amp; Expenses Build'!#REF!</f>
        <v/>
      </c>
      <c r="AA30" s="580">
        <f>'Costs &amp; Expenses Build'!#REF!</f>
        <v/>
      </c>
      <c r="AB30" s="580">
        <f>'Costs &amp; Expenses Build'!#REF!</f>
        <v/>
      </c>
      <c r="AC30" s="580">
        <f>'Costs &amp; Expenses Build'!#REF!</f>
        <v/>
      </c>
      <c r="AD30" s="580">
        <f>'Costs &amp; Expenses Build'!#REF!</f>
        <v/>
      </c>
      <c r="AE30" s="2" t="n"/>
      <c r="AF30" s="2" t="n"/>
      <c r="AG30" s="2" t="n"/>
      <c r="AH30" s="2" t="n"/>
      <c r="AI30" s="2" t="n"/>
      <c r="AJ30" s="2" t="n"/>
      <c r="AK30" s="2" t="n"/>
    </row>
    <row r="31" ht="15.75" customHeight="1">
      <c r="A31" s="2" t="n"/>
      <c r="B31" s="613" t="inlineStr">
        <is>
          <t>Total assets</t>
        </is>
      </c>
      <c r="C31" s="579" t="n">
        <v>343984256</v>
      </c>
      <c r="D31" s="579" t="n">
        <v>2.585</v>
      </c>
      <c r="E31" s="579" t="n">
        <v>3.292</v>
      </c>
      <c r="F31" s="579" t="n">
        <v>3.356</v>
      </c>
      <c r="G31" s="579" t="n">
        <v>3.043</v>
      </c>
      <c r="H31" s="579" t="n">
        <v>389.129</v>
      </c>
      <c r="I31" s="579" t="n">
        <v>487.485</v>
      </c>
      <c r="J31" s="579" t="n">
        <v>531.579</v>
      </c>
      <c r="K31" s="580" t="n"/>
      <c r="L31" s="580" t="n"/>
      <c r="M31" s="580" t="n"/>
      <c r="N31" s="580" t="n"/>
      <c r="O31" s="580" t="n"/>
      <c r="P31" s="580" t="n"/>
      <c r="Q31" s="580" t="n"/>
      <c r="R31" s="580" t="n"/>
      <c r="S31" s="580" t="n"/>
      <c r="T31" s="580" t="n"/>
      <c r="U31" s="580" t="n"/>
      <c r="V31" s="580" t="n"/>
      <c r="W31" s="580" t="n"/>
      <c r="X31" s="580" t="n"/>
      <c r="Y31" s="580" t="n"/>
      <c r="Z31" s="580">
        <f>'Costs &amp; Expenses Build'!#REF!</f>
        <v/>
      </c>
      <c r="AA31" s="580">
        <f>'Costs &amp; Expenses Build'!#REF!</f>
        <v/>
      </c>
      <c r="AB31" s="580">
        <f>'Costs &amp; Expenses Build'!#REF!</f>
        <v/>
      </c>
      <c r="AC31" s="580">
        <f>'Costs &amp; Expenses Build'!#REF!</f>
        <v/>
      </c>
      <c r="AD31" s="580">
        <f>'Costs &amp; Expenses Build'!#REF!</f>
        <v/>
      </c>
      <c r="AE31" s="2" t="n"/>
      <c r="AF31" s="2" t="n"/>
      <c r="AG31" s="2" t="n"/>
      <c r="AH31" s="2" t="n"/>
      <c r="AI31" s="2" t="n"/>
      <c r="AJ31" s="2" t="n"/>
      <c r="AK31" s="2" t="n"/>
    </row>
    <row r="32" ht="15.75" customHeight="1">
      <c r="A32" s="2" t="n">
        <v>1000</v>
      </c>
      <c r="B32" s="609" t="inlineStr">
        <is>
          <t>Current liabilities:</t>
        </is>
      </c>
      <c r="C32" s="579" t="n"/>
      <c r="D32" s="579" t="n"/>
      <c r="E32" s="579" t="n"/>
      <c r="F32" s="579" t="n"/>
      <c r="G32" s="579" t="n">
        <v>7.683</v>
      </c>
      <c r="H32" s="579" t="n">
        <v>0</v>
      </c>
      <c r="I32" s="579" t="n">
        <v>0</v>
      </c>
      <c r="J32" s="579" t="n">
        <v>0</v>
      </c>
      <c r="K32" s="580" t="n"/>
      <c r="L32" s="580" t="n"/>
      <c r="M32" s="580" t="n"/>
      <c r="N32" s="580" t="n"/>
      <c r="O32" s="580" t="n"/>
      <c r="P32" s="580" t="n"/>
      <c r="Q32" s="580" t="n"/>
      <c r="R32" s="580" t="n"/>
      <c r="S32" s="580" t="n"/>
      <c r="T32" s="580" t="n"/>
      <c r="U32" s="580" t="n"/>
      <c r="V32" s="580" t="n"/>
      <c r="W32" s="580" t="n"/>
      <c r="X32" s="580" t="n"/>
      <c r="Y32" s="580" t="n"/>
      <c r="Z32" s="580">
        <f>#REF!</f>
        <v/>
      </c>
      <c r="AA32" s="580">
        <f>#REF!</f>
        <v/>
      </c>
      <c r="AB32" s="580">
        <f>#REF!</f>
        <v/>
      </c>
      <c r="AC32" s="580">
        <f>#REF!</f>
        <v/>
      </c>
      <c r="AD32" s="580">
        <f>#REF!</f>
        <v/>
      </c>
      <c r="AE32" s="2" t="n"/>
      <c r="AF32" s="2" t="n"/>
      <c r="AG32" s="2" t="n"/>
      <c r="AH32" s="2" t="n"/>
      <c r="AI32" s="2" t="n"/>
      <c r="AJ32" s="2" t="n"/>
      <c r="AK32" s="2" t="n"/>
    </row>
    <row r="33" ht="15.75" customHeight="1">
      <c r="A33" s="2" t="n"/>
      <c r="B33" s="609" t="inlineStr">
        <is>
          <t>Accounts payable</t>
        </is>
      </c>
      <c r="C33" s="579" t="n">
        <v>17030404</v>
      </c>
      <c r="D33" s="579" t="n">
        <v>0</v>
      </c>
      <c r="E33" s="579" t="n">
        <v>0</v>
      </c>
      <c r="F33" s="579" t="n">
        <v>0</v>
      </c>
      <c r="G33" s="579" t="n">
        <v>0</v>
      </c>
      <c r="H33" s="579" t="n">
        <v>16.364</v>
      </c>
      <c r="I33" s="579" t="n">
        <v>19.967</v>
      </c>
      <c r="J33" s="579" t="n">
        <v>21.131</v>
      </c>
      <c r="K33" s="580" t="n"/>
      <c r="L33" s="580" t="n"/>
      <c r="M33" s="580" t="n"/>
      <c r="N33" s="580" t="n"/>
      <c r="O33" s="580" t="n"/>
      <c r="P33" s="580" t="n"/>
      <c r="Q33" s="580" t="n"/>
      <c r="R33" s="580" t="n"/>
      <c r="S33" s="580" t="n"/>
      <c r="T33" s="580" t="n"/>
      <c r="U33" s="580" t="n"/>
      <c r="V33" s="580" t="n"/>
      <c r="W33" s="580" t="n"/>
      <c r="X33" s="580" t="n"/>
      <c r="Y33" s="580" t="n"/>
      <c r="Z33" s="580">
        <f>0</f>
        <v/>
      </c>
      <c r="AA33" s="580">
        <f>0</f>
        <v/>
      </c>
      <c r="AB33" s="580">
        <f>0</f>
        <v/>
      </c>
      <c r="AC33" s="580">
        <f>0</f>
        <v/>
      </c>
      <c r="AD33" s="580">
        <f>0</f>
        <v/>
      </c>
      <c r="AE33" s="2" t="n"/>
      <c r="AF33" s="2" t="n"/>
      <c r="AG33" s="2" t="n"/>
      <c r="AH33" s="2" t="n"/>
      <c r="AI33" s="2" t="n"/>
      <c r="AJ33" s="2" t="n"/>
      <c r="AK33" s="2" t="n"/>
    </row>
    <row r="34" ht="15.75" customHeight="1">
      <c r="A34" s="2" t="n"/>
      <c r="B34" s="578" t="inlineStr">
        <is>
          <t>Accrued expenses</t>
        </is>
      </c>
      <c r="C34" s="579" t="n">
        <v>9629084</v>
      </c>
      <c r="D34" s="579">
        <f>2.506+2.207</f>
        <v/>
      </c>
      <c r="E34" s="579">
        <f>2.802+4.973</f>
        <v/>
      </c>
      <c r="F34" s="579">
        <f>0.2+3.459</f>
        <v/>
      </c>
      <c r="G34" s="579">
        <f>0.141+5.616</f>
        <v/>
      </c>
      <c r="H34" s="579" t="n">
        <v>8.576000000000001</v>
      </c>
      <c r="I34" s="579" t="n">
        <v>8.423999999999999</v>
      </c>
      <c r="J34" s="579" t="n">
        <v>8.843</v>
      </c>
      <c r="K34" s="580" t="n"/>
      <c r="L34" s="580" t="n"/>
      <c r="M34" s="580" t="n"/>
      <c r="N34" s="580" t="n"/>
      <c r="O34" s="580" t="n"/>
      <c r="P34" s="580" t="n"/>
      <c r="Q34" s="580" t="n"/>
      <c r="R34" s="580" t="n"/>
      <c r="S34" s="580" t="n"/>
      <c r="T34" s="580" t="n"/>
      <c r="U34" s="580" t="n"/>
      <c r="V34" s="580" t="n"/>
      <c r="W34" s="580" t="n"/>
      <c r="X34" s="580" t="n"/>
      <c r="Y34" s="580" t="n"/>
      <c r="Z34" s="580">
        <f>'Costs &amp; Expenses Build'!#REF!</f>
        <v/>
      </c>
      <c r="AA34" s="580">
        <f>'Costs &amp; Expenses Build'!#REF!</f>
        <v/>
      </c>
      <c r="AB34" s="580">
        <f>'Costs &amp; Expenses Build'!#REF!</f>
        <v/>
      </c>
      <c r="AC34" s="580">
        <f>'Costs &amp; Expenses Build'!#REF!</f>
        <v/>
      </c>
      <c r="AD34" s="580">
        <f>'Costs &amp; Expenses Build'!#REF!</f>
        <v/>
      </c>
      <c r="AE34" s="2" t="n"/>
      <c r="AF34" s="2" t="n"/>
      <c r="AG34" s="2" t="n"/>
      <c r="AH34" s="2" t="n"/>
      <c r="AI34" s="2" t="n"/>
      <c r="AJ34" s="2" t="n"/>
      <c r="AK34" s="2" t="n"/>
    </row>
    <row r="35" ht="15.75" customHeight="1">
      <c r="A35" s="2" t="n"/>
      <c r="B35" s="589" t="inlineStr">
        <is>
          <t>Income tax payable</t>
        </is>
      </c>
      <c r="C35" s="610" t="n">
        <v>0</v>
      </c>
      <c r="D35" s="610">
        <f>SUM(D28:D34)</f>
        <v/>
      </c>
      <c r="E35" s="610">
        <f>SUM(E28:E34)</f>
        <v/>
      </c>
      <c r="F35" s="610">
        <f>SUM(F28:F34)</f>
        <v/>
      </c>
      <c r="G35" s="610">
        <f>SUM(G28:G34)</f>
        <v/>
      </c>
      <c r="H35" s="610" t="n">
        <v>1.324</v>
      </c>
      <c r="I35" s="610" t="n">
        <v>3.443</v>
      </c>
      <c r="J35" s="610" t="n">
        <v>0</v>
      </c>
      <c r="K35" s="611" t="n"/>
      <c r="L35" s="611" t="n"/>
      <c r="M35" s="611" t="n"/>
      <c r="N35" s="611" t="n"/>
      <c r="O35" s="611" t="n"/>
      <c r="P35" s="611" t="n"/>
      <c r="Q35" s="611" t="n"/>
      <c r="R35" s="611" t="n"/>
      <c r="S35" s="611" t="n"/>
      <c r="T35" s="611" t="n"/>
      <c r="U35" s="611" t="n"/>
      <c r="V35" s="611" t="n"/>
      <c r="W35" s="611" t="n"/>
      <c r="X35" s="611" t="n"/>
      <c r="Y35" s="611" t="n"/>
      <c r="Z35" s="611">
        <f>SUM(Z28:Z34)</f>
        <v/>
      </c>
      <c r="AA35" s="611">
        <f>SUM(AA28:AA34)</f>
        <v/>
      </c>
      <c r="AB35" s="611">
        <f>SUM(AB28:AB34)</f>
        <v/>
      </c>
      <c r="AC35" s="611">
        <f>SUM(AC28:AC34)</f>
        <v/>
      </c>
      <c r="AD35" s="611">
        <f>SUM(AD28:AD34)</f>
        <v/>
      </c>
      <c r="AE35" s="2" t="n"/>
      <c r="AF35" s="2" t="n"/>
      <c r="AG35" s="2" t="n"/>
      <c r="AH35" s="2" t="n"/>
      <c r="AI35" s="2" t="n"/>
      <c r="AJ35" s="2" t="n"/>
      <c r="AK35" s="2" t="n"/>
    </row>
    <row r="36" ht="15.75" customHeight="1">
      <c r="A36" s="2" t="n"/>
      <c r="B36" s="583" t="inlineStr">
        <is>
          <t>Lessee and customer purchase deposits</t>
        </is>
      </c>
      <c r="C36" s="579" t="n">
        <v>3473921</v>
      </c>
      <c r="D36" s="579" t="n"/>
      <c r="E36" s="579" t="n"/>
      <c r="F36" s="579" t="n"/>
      <c r="G36" s="579" t="n"/>
      <c r="H36" s="579" t="n">
        <v>2.82</v>
      </c>
      <c r="I36" s="579" t="n">
        <v>33.212</v>
      </c>
      <c r="J36" s="579" t="n">
        <v>17.085</v>
      </c>
      <c r="K36" s="580" t="n"/>
      <c r="L36" s="580" t="n"/>
      <c r="M36" s="580" t="n"/>
      <c r="N36" s="580" t="n"/>
      <c r="O36" s="580" t="n"/>
      <c r="P36" s="580" t="n"/>
      <c r="Q36" s="580" t="n"/>
      <c r="R36" s="580" t="n"/>
      <c r="S36" s="580" t="n"/>
      <c r="T36" s="580" t="n"/>
      <c r="U36" s="580" t="n"/>
      <c r="V36" s="580" t="n"/>
      <c r="W36" s="580" t="n"/>
      <c r="X36" s="580" t="n"/>
      <c r="Y36" s="580" t="n"/>
      <c r="Z36" s="580" t="n"/>
      <c r="AA36" s="580" t="n"/>
      <c r="AB36" s="580" t="n"/>
      <c r="AC36" s="580" t="n"/>
      <c r="AD36" s="580" t="n"/>
      <c r="AE36" s="2" t="n"/>
      <c r="AF36" s="2" t="n"/>
      <c r="AG36" s="2" t="n"/>
      <c r="AH36" s="2" t="n"/>
      <c r="AI36" s="2" t="n"/>
      <c r="AJ36" s="2" t="n"/>
      <c r="AK36" s="2" t="n"/>
    </row>
    <row r="37" ht="15.75" customHeight="1">
      <c r="A37" s="2" t="n"/>
      <c r="B37" s="612" t="inlineStr">
        <is>
          <t>Current operating lease liabilities</t>
        </is>
      </c>
      <c r="C37" s="579" t="n"/>
      <c r="D37" s="579" t="n"/>
      <c r="E37" s="579" t="n"/>
      <c r="F37" s="579" t="n"/>
      <c r="G37" s="579" t="n"/>
      <c r="H37" s="579" t="n">
        <v>0</v>
      </c>
      <c r="I37" s="579" t="n">
        <v>0</v>
      </c>
      <c r="J37" s="579" t="n">
        <v>4.426</v>
      </c>
      <c r="K37" s="580" t="n"/>
      <c r="L37" s="580" t="n"/>
      <c r="M37" s="580" t="n"/>
      <c r="N37" s="580" t="n"/>
      <c r="O37" s="580" t="n"/>
      <c r="P37" s="580" t="n"/>
      <c r="Q37" s="580" t="n"/>
      <c r="R37" s="580" t="n"/>
      <c r="S37" s="580" t="n"/>
      <c r="T37" s="580" t="n"/>
      <c r="U37" s="580" t="n"/>
      <c r="V37" s="580" t="n"/>
      <c r="W37" s="580" t="n"/>
      <c r="X37" s="580" t="n"/>
      <c r="Y37" s="580" t="n"/>
      <c r="Z37" s="580" t="n"/>
      <c r="AA37" s="580" t="n"/>
      <c r="AB37" s="580" t="n"/>
      <c r="AC37" s="580" t="n"/>
      <c r="AD37" s="580" t="n"/>
      <c r="AE37" s="2" t="n"/>
      <c r="AF37" s="2" t="n"/>
      <c r="AG37" s="2" t="n"/>
      <c r="AH37" s="2" t="n"/>
      <c r="AI37" s="2" t="n"/>
      <c r="AJ37" s="2" t="n"/>
      <c r="AK37" s="2" t="n"/>
    </row>
    <row r="38" ht="15.75" customHeight="1">
      <c r="A38" s="2" t="n"/>
      <c r="B38" s="578" t="inlineStr">
        <is>
          <t>Current portion of long-term debt, net</t>
        </is>
      </c>
      <c r="C38" s="579" t="n">
        <v>3351714</v>
      </c>
      <c r="D38" s="579" t="n">
        <v>10.04</v>
      </c>
      <c r="E38" s="579" t="n">
        <v>9.385999999999999</v>
      </c>
      <c r="F38" s="579" t="n">
        <v>7.82</v>
      </c>
      <c r="G38" s="579" t="n">
        <v>7.455</v>
      </c>
      <c r="H38" s="579" t="n">
        <v>0</v>
      </c>
      <c r="I38" s="579" t="n">
        <v>0</v>
      </c>
      <c r="J38" s="579" t="n">
        <v>0</v>
      </c>
      <c r="K38" s="580" t="n"/>
      <c r="L38" s="580" t="n"/>
      <c r="M38" s="580" t="n"/>
      <c r="N38" s="580" t="n"/>
      <c r="O38" s="580" t="n"/>
      <c r="P38" s="580" t="n"/>
      <c r="Q38" s="580" t="n"/>
      <c r="R38" s="580" t="n"/>
      <c r="S38" s="580" t="n"/>
      <c r="T38" s="580" t="n"/>
      <c r="U38" s="580" t="n"/>
      <c r="V38" s="580" t="n"/>
      <c r="W38" s="580" t="n"/>
      <c r="X38" s="580" t="n"/>
      <c r="Y38" s="580" t="n"/>
      <c r="Z38" s="580">
        <f>Y38</f>
        <v/>
      </c>
      <c r="AA38" s="580">
        <f>Z38</f>
        <v/>
      </c>
      <c r="AB38" s="580">
        <f>AA38</f>
        <v/>
      </c>
      <c r="AC38" s="580">
        <f>AB38</f>
        <v/>
      </c>
      <c r="AD38" s="580">
        <f>AC38</f>
        <v/>
      </c>
      <c r="AE38" s="2" t="n"/>
      <c r="AF38" s="2" t="n"/>
      <c r="AG38" s="2" t="n"/>
      <c r="AH38" s="2" t="n"/>
      <c r="AI38" s="2" t="n"/>
      <c r="AJ38" s="2" t="n"/>
      <c r="AK38" s="2" t="n"/>
    </row>
    <row r="39" ht="15.75" customHeight="1">
      <c r="A39" s="2" t="n"/>
      <c r="B39" s="578" t="inlineStr">
        <is>
          <t>Deferred revenue</t>
        </is>
      </c>
      <c r="C39" s="579" t="n">
        <v>7708761</v>
      </c>
      <c r="D39" s="579" t="n"/>
      <c r="E39" s="579" t="n"/>
      <c r="F39" s="579" t="n"/>
      <c r="G39" s="579" t="n"/>
      <c r="H39" s="579" t="n">
        <v>2.595</v>
      </c>
      <c r="I39" s="579" t="n">
        <v>2.86</v>
      </c>
      <c r="J39" s="579" t="n">
        <v>1.355</v>
      </c>
      <c r="K39" s="580" t="n"/>
      <c r="L39" s="580" t="n"/>
      <c r="M39" s="580" t="n"/>
      <c r="N39" s="580" t="n"/>
      <c r="O39" s="580" t="n"/>
      <c r="P39" s="580" t="n"/>
      <c r="Q39" s="580" t="n"/>
      <c r="R39" s="580" t="n"/>
      <c r="S39" s="580" t="n"/>
      <c r="T39" s="580" t="n"/>
      <c r="U39" s="580" t="n"/>
      <c r="V39" s="580" t="n"/>
      <c r="W39" s="580" t="n"/>
      <c r="X39" s="580" t="n"/>
      <c r="Y39" s="580" t="n"/>
      <c r="Z39" s="580">
        <f>#REF!</f>
        <v/>
      </c>
      <c r="AA39" s="580">
        <f>#REF!</f>
        <v/>
      </c>
      <c r="AB39" s="580">
        <f>#REF!</f>
        <v/>
      </c>
      <c r="AC39" s="580">
        <f>#REF!</f>
        <v/>
      </c>
      <c r="AD39" s="580">
        <f>#REF!</f>
        <v/>
      </c>
      <c r="AE39" s="2" t="n"/>
      <c r="AF39" s="2" t="n"/>
      <c r="AG39" s="2" t="n"/>
      <c r="AH39" s="2" t="n"/>
      <c r="AI39" s="2" t="n"/>
      <c r="AJ39" s="2" t="n"/>
      <c r="AK39" s="2" t="n"/>
    </row>
    <row r="40" ht="15.75" customHeight="1">
      <c r="A40" s="2" t="n"/>
      <c r="B40" s="578" t="inlineStr">
        <is>
          <t>Total current liabilities</t>
        </is>
      </c>
      <c r="C40" s="579" t="n">
        <v>41193884</v>
      </c>
      <c r="D40" s="579" t="n">
        <v>6.7</v>
      </c>
      <c r="E40" s="579" t="n">
        <v>71</v>
      </c>
      <c r="F40" s="579" t="n">
        <v>67</v>
      </c>
      <c r="G40" s="579" t="n">
        <v>63</v>
      </c>
      <c r="H40" s="579" t="n">
        <v>31.679</v>
      </c>
      <c r="I40" s="579" t="n">
        <v>67.90600000000001</v>
      </c>
      <c r="J40" s="579" t="n">
        <v>52.84</v>
      </c>
      <c r="K40" s="580" t="n"/>
      <c r="L40" s="580" t="n"/>
      <c r="M40" s="580" t="n"/>
      <c r="N40" s="580" t="n"/>
      <c r="O40" s="580" t="n"/>
      <c r="P40" s="580" t="n"/>
      <c r="Q40" s="580" t="n"/>
      <c r="R40" s="580" t="n"/>
      <c r="S40" s="580" t="n"/>
      <c r="T40" s="580" t="n"/>
      <c r="U40" s="580" t="n"/>
      <c r="V40" s="580" t="n"/>
      <c r="W40" s="580" t="n"/>
      <c r="X40" s="580" t="n"/>
      <c r="Y40" s="580" t="n"/>
      <c r="Z40" s="580" t="n"/>
      <c r="AA40" s="580" t="n"/>
      <c r="AB40" s="580" t="n"/>
      <c r="AC40" s="580" t="n"/>
      <c r="AD40" s="580" t="n"/>
      <c r="AE40" s="2" t="n"/>
      <c r="AF40" s="2" t="n"/>
      <c r="AG40" s="2" t="n"/>
      <c r="AH40" s="2" t="n"/>
      <c r="AI40" s="2" t="n"/>
      <c r="AJ40" s="2" t="n"/>
      <c r="AK40" s="2" t="n"/>
    </row>
    <row r="41" ht="15.75" customHeight="1">
      <c r="A41" s="2" t="n"/>
      <c r="B41" s="609" t="inlineStr">
        <is>
          <t>Long-term lease deposits</t>
        </is>
      </c>
      <c r="C41" s="579" t="n">
        <v>4184874</v>
      </c>
      <c r="D41" s="579" t="n"/>
      <c r="E41" s="579" t="n"/>
      <c r="F41" s="579" t="n"/>
      <c r="G41" s="579" t="n">
        <v>37.199</v>
      </c>
      <c r="H41" s="579" t="n">
        <v>1.145</v>
      </c>
      <c r="I41" s="579" t="n">
        <v>2.053</v>
      </c>
      <c r="J41" s="579" t="n">
        <v>0.152</v>
      </c>
      <c r="K41" s="580" t="n"/>
      <c r="L41" s="580" t="n"/>
      <c r="M41" s="580" t="n"/>
      <c r="N41" s="580" t="n"/>
      <c r="O41" s="580" t="n"/>
      <c r="P41" s="580" t="n"/>
      <c r="Q41" s="580" t="n"/>
      <c r="R41" s="580" t="n"/>
      <c r="S41" s="580" t="n"/>
      <c r="T41" s="580" t="n"/>
      <c r="U41" s="580" t="n"/>
      <c r="V41" s="580" t="n"/>
      <c r="W41" s="580" t="n"/>
      <c r="X41" s="580" t="n"/>
      <c r="Y41" s="580" t="n"/>
      <c r="Z41" s="580">
        <f>#REF!</f>
        <v/>
      </c>
      <c r="AA41" s="580">
        <f>#REF!</f>
        <v/>
      </c>
      <c r="AB41" s="580">
        <f>#REF!</f>
        <v/>
      </c>
      <c r="AC41" s="580">
        <f>#REF!</f>
        <v/>
      </c>
      <c r="AD41" s="580">
        <f>#REF!</f>
        <v/>
      </c>
      <c r="AE41" s="2" t="n"/>
      <c r="AF41" s="2" t="n"/>
      <c r="AG41" s="2" t="n"/>
      <c r="AH41" s="2" t="n"/>
      <c r="AI41" s="2" t="n"/>
      <c r="AJ41" s="2" t="n"/>
      <c r="AK41" s="2" t="n"/>
    </row>
    <row r="42" ht="15.75" customHeight="1">
      <c r="A42" s="2" t="n"/>
      <c r="B42" s="578" t="inlineStr">
        <is>
          <t>Long-term operating lease liabilities</t>
        </is>
      </c>
      <c r="C42" s="579" t="n"/>
      <c r="D42" s="579" t="n">
        <v>13.557</v>
      </c>
      <c r="E42" s="579" t="n">
        <v>13.925</v>
      </c>
      <c r="F42" s="579" t="n">
        <v>13.306</v>
      </c>
      <c r="G42" s="579" t="n">
        <v>7.489</v>
      </c>
      <c r="H42" s="579" t="n">
        <v>0</v>
      </c>
      <c r="I42" s="579" t="n">
        <v>0</v>
      </c>
      <c r="J42" s="579" t="n">
        <v>28.283</v>
      </c>
      <c r="K42" s="580" t="n"/>
      <c r="L42" s="580" t="n"/>
      <c r="M42" s="580" t="n"/>
      <c r="N42" s="580" t="n"/>
      <c r="O42" s="580" t="n"/>
      <c r="P42" s="580" t="n"/>
      <c r="Q42" s="580" t="n"/>
      <c r="R42" s="580" t="n"/>
      <c r="S42" s="580" t="n"/>
      <c r="T42" s="580" t="n"/>
      <c r="U42" s="580" t="n"/>
      <c r="V42" s="580" t="n"/>
      <c r="W42" s="580" t="n"/>
      <c r="X42" s="580" t="n"/>
      <c r="Y42" s="580" t="n"/>
      <c r="Z42" s="580">
        <f>Y42</f>
        <v/>
      </c>
      <c r="AA42" s="580">
        <f>Z42</f>
        <v/>
      </c>
      <c r="AB42" s="580">
        <f>AA42</f>
        <v/>
      </c>
      <c r="AC42" s="580">
        <f>AB42</f>
        <v/>
      </c>
      <c r="AD42" s="580">
        <f>AC42</f>
        <v/>
      </c>
      <c r="AE42" s="2" t="n"/>
      <c r="AF42" s="2" t="n"/>
      <c r="AG42" s="2" t="n"/>
      <c r="AH42" s="2" t="n"/>
      <c r="AI42" s="2" t="n"/>
      <c r="AJ42" s="2" t="n"/>
      <c r="AK42" s="2" t="n"/>
    </row>
    <row r="43" ht="15.75" customHeight="1">
      <c r="A43" s="2" t="n"/>
      <c r="B43" s="578" t="inlineStr">
        <is>
          <t>Maintenance deposit payments and other liabilities</t>
        </is>
      </c>
      <c r="C43" s="579" t="n">
        <v>4620133</v>
      </c>
      <c r="D43" s="579" t="n"/>
      <c r="E43" s="579" t="n"/>
      <c r="F43" s="579" t="n"/>
      <c r="G43" s="579" t="n">
        <v>11.21</v>
      </c>
      <c r="H43" s="579" t="n">
        <v>3.664</v>
      </c>
      <c r="I43" s="579" t="n">
        <v>3.403</v>
      </c>
      <c r="J43" s="579" t="n">
        <v>0.668</v>
      </c>
      <c r="K43" s="580" t="n"/>
      <c r="L43" s="580" t="n"/>
      <c r="M43" s="580" t="n"/>
      <c r="N43" s="580" t="n"/>
      <c r="O43" s="580" t="n"/>
      <c r="P43" s="580" t="n"/>
      <c r="Q43" s="580" t="n"/>
      <c r="R43" s="580" t="n"/>
      <c r="S43" s="580" t="n"/>
      <c r="T43" s="580" t="n"/>
      <c r="U43" s="580" t="n"/>
      <c r="V43" s="580" t="n"/>
      <c r="W43" s="580" t="n"/>
      <c r="X43" s="580" t="n"/>
      <c r="Y43" s="580" t="n"/>
      <c r="Z43" s="580">
        <f>Y43</f>
        <v/>
      </c>
      <c r="AA43" s="580">
        <f>Z43</f>
        <v/>
      </c>
      <c r="AB43" s="580">
        <f>AA43</f>
        <v/>
      </c>
      <c r="AC43" s="580">
        <f>AB43</f>
        <v/>
      </c>
      <c r="AD43" s="580">
        <f>AC43</f>
        <v/>
      </c>
      <c r="AE43" s="2" t="n"/>
      <c r="AF43" s="2" t="n"/>
      <c r="AG43" s="2" t="n"/>
      <c r="AH43" s="2" t="n"/>
      <c r="AI43" s="2" t="n"/>
      <c r="AJ43" s="2" t="n"/>
      <c r="AK43" s="2" t="n"/>
    </row>
    <row r="44" ht="15.75" customHeight="1">
      <c r="A44" s="2" t="n"/>
      <c r="B44" s="589" t="inlineStr">
        <is>
          <t>Deferred income taxes, net</t>
        </is>
      </c>
      <c r="C44" s="610" t="n"/>
      <c r="D44" s="610">
        <f>SUM(D38:D43)</f>
        <v/>
      </c>
      <c r="E44" s="610">
        <f>SUM(E38:E43)</f>
        <v/>
      </c>
      <c r="F44" s="610">
        <f>SUM(F38:F43)</f>
        <v/>
      </c>
      <c r="G44" s="610">
        <f>SUM(G38:G43)</f>
        <v/>
      </c>
      <c r="H44" s="610" t="n">
        <v>0</v>
      </c>
      <c r="I44" s="610" t="n">
        <v>1.113</v>
      </c>
      <c r="J44" s="610" t="n">
        <v>0</v>
      </c>
      <c r="K44" s="611" t="n"/>
      <c r="L44" s="611" t="n"/>
      <c r="M44" s="611" t="n"/>
      <c r="N44" s="611" t="n"/>
      <c r="O44" s="611" t="n"/>
      <c r="P44" s="611" t="n"/>
      <c r="Q44" s="611" t="n"/>
      <c r="R44" s="611" t="n"/>
      <c r="S44" s="611" t="n"/>
      <c r="T44" s="611" t="n"/>
      <c r="U44" s="611" t="n"/>
      <c r="V44" s="611" t="n"/>
      <c r="W44" s="611" t="n"/>
      <c r="X44" s="611" t="n"/>
      <c r="Y44" s="611" t="n"/>
      <c r="Z44" s="611">
        <f>SUM(Z38:Z43)</f>
        <v/>
      </c>
      <c r="AA44" s="611">
        <f>SUM(AA38:AA43)</f>
        <v/>
      </c>
      <c r="AB44" s="611">
        <f>SUM(AB38:AB43)</f>
        <v/>
      </c>
      <c r="AC44" s="611">
        <f>SUM(AC38:AC43)</f>
        <v/>
      </c>
      <c r="AD44" s="611">
        <f>SUM(AD38:AD43)</f>
        <v/>
      </c>
      <c r="AE44" s="2" t="n"/>
      <c r="AF44" s="2" t="n"/>
      <c r="AG44" s="2" t="n"/>
      <c r="AH44" s="2" t="n"/>
      <c r="AI44" s="2" t="n"/>
      <c r="AJ44" s="2" t="n"/>
      <c r="AK44" s="2" t="n"/>
    </row>
    <row r="45" ht="15.75" customHeight="1">
      <c r="A45" s="2" t="n"/>
      <c r="B45" s="577" t="inlineStr">
        <is>
          <t>Warrant liability</t>
        </is>
      </c>
      <c r="C45" s="584" t="n"/>
      <c r="D45" s="584">
        <f>D35+D44</f>
        <v/>
      </c>
      <c r="E45" s="584">
        <f>E35+E44</f>
        <v/>
      </c>
      <c r="F45" s="584">
        <f>F35+F44</f>
        <v/>
      </c>
      <c r="G45" s="584">
        <f>G35+G44</f>
        <v/>
      </c>
      <c r="H45" s="584" t="n">
        <v>1.186</v>
      </c>
      <c r="I45" s="584" t="n">
        <v>4.131</v>
      </c>
      <c r="J45" s="584" t="n">
        <v>4.656</v>
      </c>
      <c r="K45" s="580" t="n"/>
      <c r="L45" s="580" t="n"/>
      <c r="M45" s="580" t="n"/>
      <c r="N45" s="580" t="n"/>
      <c r="O45" s="580" t="n"/>
      <c r="P45" s="580" t="n"/>
      <c r="Q45" s="580" t="n"/>
      <c r="R45" s="580" t="n"/>
      <c r="S45" s="580" t="n"/>
      <c r="T45" s="580" t="n"/>
      <c r="U45" s="580" t="n"/>
      <c r="V45" s="580" t="n"/>
      <c r="W45" s="580" t="n"/>
      <c r="X45" s="580" t="n"/>
      <c r="Y45" s="580" t="n"/>
      <c r="Z45" s="580">
        <f>SUM(Z44,Z35)</f>
        <v/>
      </c>
      <c r="AA45" s="580">
        <f>SUM(AA44,AA35)</f>
        <v/>
      </c>
      <c r="AB45" s="580">
        <f>SUM(AB44,AB35)</f>
        <v/>
      </c>
      <c r="AC45" s="580">
        <f>SUM(AC44,AC35)</f>
        <v/>
      </c>
      <c r="AD45" s="580">
        <f>SUM(AD44,AD35)</f>
        <v/>
      </c>
      <c r="AE45" s="2" t="n"/>
      <c r="AF45" s="2" t="n"/>
      <c r="AG45" s="2" t="n"/>
      <c r="AH45" s="2" t="n"/>
      <c r="AI45" s="2" t="n"/>
      <c r="AJ45" s="2" t="n"/>
      <c r="AK45" s="2" t="n"/>
    </row>
    <row r="46" ht="15.75" customHeight="1">
      <c r="A46" s="2" t="n"/>
      <c r="B46" s="577" t="inlineStr">
        <is>
          <t>Total liabilities</t>
        </is>
      </c>
      <c r="C46" s="584" t="n">
        <v>49998891</v>
      </c>
      <c r="D46" s="584" t="n"/>
      <c r="E46" s="584" t="n"/>
      <c r="F46" s="584" t="n"/>
      <c r="G46" s="584" t="n"/>
      <c r="H46" s="584" t="n">
        <v>37.674</v>
      </c>
      <c r="I46" s="584" t="n">
        <v>78.60599999999999</v>
      </c>
      <c r="J46" s="584" t="n">
        <v>86.599</v>
      </c>
      <c r="K46" s="580" t="n"/>
      <c r="L46" s="580" t="n"/>
      <c r="M46" s="580" t="n"/>
      <c r="N46" s="580" t="n"/>
      <c r="O46" s="580" t="n"/>
      <c r="P46" s="580" t="n"/>
      <c r="Q46" s="580" t="n"/>
      <c r="R46" s="580" t="n"/>
      <c r="S46" s="580" t="n"/>
      <c r="T46" s="580" t="n"/>
      <c r="U46" s="580" t="n"/>
      <c r="V46" s="580" t="n"/>
      <c r="W46" s="580" t="n"/>
      <c r="X46" s="580" t="n"/>
      <c r="Y46" s="580" t="n"/>
      <c r="Z46" s="580" t="n"/>
      <c r="AA46" s="580" t="n"/>
      <c r="AB46" s="580" t="n"/>
      <c r="AC46" s="580" t="n"/>
      <c r="AD46" s="580" t="n"/>
      <c r="AE46" s="2" t="n"/>
      <c r="AF46" s="2" t="n"/>
      <c r="AG46" s="2" t="n"/>
      <c r="AH46" s="2" t="n"/>
      <c r="AI46" s="2" t="n"/>
      <c r="AJ46" s="2" t="n"/>
      <c r="AK46" s="2" t="n"/>
    </row>
    <row r="47" ht="15.75" customHeight="1">
      <c r="A47" s="2" t="n"/>
      <c r="B47" s="577" t="inlineStr">
        <is>
          <t>Commitments and contingencies</t>
        </is>
      </c>
      <c r="C47" s="584" t="n"/>
      <c r="D47" s="584">
        <f>SUM(D11,D12,D14)-SUM(D28,D29,D30,D31,D32,D34)</f>
        <v/>
      </c>
      <c r="E47" s="584">
        <f>SUM(E11,E12,E14)-SUM(E28,E29,E30,E31,E32,E34)</f>
        <v/>
      </c>
      <c r="F47" s="584">
        <f>SUM(F11,F12,F14)-SUM(F28,F29,F30,F31,F32,F34)</f>
        <v/>
      </c>
      <c r="G47" s="584">
        <f>SUM(G11,G12,G14)-SUM(G28,G29,G30,G31,G32,G34)</f>
        <v/>
      </c>
      <c r="H47" s="584" t="n">
        <v>0</v>
      </c>
      <c r="I47" s="584" t="n">
        <v>0</v>
      </c>
      <c r="J47" s="584" t="n">
        <v>0</v>
      </c>
      <c r="K47" s="580" t="n"/>
      <c r="L47" s="580" t="n"/>
      <c r="M47" s="580" t="n"/>
      <c r="N47" s="580" t="n"/>
      <c r="O47" s="580" t="n"/>
      <c r="P47" s="580" t="n"/>
      <c r="Q47" s="580" t="n"/>
      <c r="R47" s="580" t="n"/>
      <c r="S47" s="580" t="n"/>
      <c r="T47" s="580" t="n"/>
      <c r="U47" s="580" t="n"/>
      <c r="V47" s="580" t="n"/>
      <c r="W47" s="580" t="n"/>
      <c r="X47" s="580" t="n"/>
      <c r="Y47" s="580" t="n"/>
      <c r="Z47" s="580">
        <f>SUM(Z11,Z12,Z14)-SUM(Z28,Z29,Z30,Z31,Z32,Z34)</f>
        <v/>
      </c>
      <c r="AA47" s="580">
        <f>SUM(AA11,AA12,AA14)-SUM(AA28,AA29,AA30,AA31,AA32,AA34)</f>
        <v/>
      </c>
      <c r="AB47" s="580">
        <f>SUM(AB11,AB12,AB14)-SUM(AB28,AB29,AB30,AB31,AB32,AB34)</f>
        <v/>
      </c>
      <c r="AC47" s="580">
        <f>SUM(AC11,AC12,AC14)-SUM(AC28,AC29,AC30,AC31,AC32,AC34)</f>
        <v/>
      </c>
      <c r="AD47" s="580">
        <f>SUM(AD11,AD12,AD14)-SUM(AD28,AD29,AD30,AD31,AD32,AD34)</f>
        <v/>
      </c>
      <c r="AE47" s="2" t="n"/>
      <c r="AF47" s="2" t="n"/>
      <c r="AG47" s="2" t="n"/>
      <c r="AH47" s="2" t="n"/>
      <c r="AI47" s="2" t="n"/>
      <c r="AJ47" s="2" t="n"/>
      <c r="AK47" s="2" t="n"/>
    </row>
    <row r="48" ht="15.75" customHeight="1">
      <c r="A48" s="2" t="n"/>
      <c r="B48" s="583" t="inlineStr">
        <is>
          <t>Stockholders' equity:</t>
        </is>
      </c>
      <c r="C48" s="579" t="n"/>
      <c r="D48" s="579" t="n"/>
      <c r="E48" s="579" t="n"/>
      <c r="F48" s="579" t="n"/>
      <c r="G48" s="579" t="n"/>
      <c r="H48" s="579" t="n">
        <v>0</v>
      </c>
      <c r="I48" s="579" t="n">
        <v>0</v>
      </c>
      <c r="J48" s="579" t="n">
        <v>0</v>
      </c>
      <c r="K48" s="580" t="n"/>
      <c r="L48" s="580" t="n"/>
      <c r="M48" s="580" t="n"/>
      <c r="N48" s="580" t="n"/>
      <c r="O48" s="580" t="n"/>
      <c r="P48" s="580" t="n"/>
      <c r="Q48" s="580" t="n"/>
      <c r="R48" s="580" t="n"/>
      <c r="S48" s="580" t="n"/>
      <c r="T48" s="580" t="n"/>
      <c r="U48" s="580" t="n"/>
      <c r="V48" s="580" t="n"/>
      <c r="W48" s="580" t="n"/>
      <c r="X48" s="580" t="n"/>
      <c r="Y48" s="580" t="n"/>
      <c r="Z48" s="580" t="n"/>
      <c r="AA48" s="580" t="n"/>
      <c r="AB48" s="580" t="n"/>
      <c r="AC48" s="580" t="n"/>
      <c r="AD48" s="580" t="n"/>
      <c r="AE48" s="2" t="n"/>
      <c r="AF48" s="2" t="n"/>
      <c r="AG48" s="2" t="n"/>
      <c r="AH48" s="2" t="n"/>
      <c r="AI48" s="2" t="n"/>
      <c r="AJ48" s="2" t="n"/>
      <c r="AK48" s="2" t="n"/>
    </row>
    <row r="49" ht="15.75" customHeight="1">
      <c r="A49" s="2" t="n"/>
      <c r="B49" s="612" t="inlineStr">
        <is>
          <t>Common stock, $0.0001 par value. Authorized 200,000,000 shares; issued and outstanding 51,673,099 and 41,046,216 shares</t>
        </is>
      </c>
      <c r="C49" s="579" t="n">
        <v>529</v>
      </c>
      <c r="D49" s="579" t="n"/>
      <c r="E49" s="579" t="n"/>
      <c r="F49" s="579" t="n"/>
      <c r="G49" s="579" t="n"/>
      <c r="H49" s="579" t="n">
        <v>0.004</v>
      </c>
      <c r="I49" s="579" t="n">
        <v>0.005</v>
      </c>
      <c r="J49" s="579" t="n">
        <v>0.005</v>
      </c>
      <c r="K49" s="580" t="n"/>
      <c r="L49" s="580" t="n"/>
      <c r="M49" s="580" t="n"/>
      <c r="N49" s="580" t="n"/>
      <c r="O49" s="580" t="n"/>
      <c r="P49" s="580" t="n"/>
      <c r="Q49" s="580" t="n"/>
      <c r="R49" s="580" t="n"/>
      <c r="S49" s="580" t="n"/>
      <c r="T49" s="580" t="n"/>
      <c r="U49" s="580" t="n"/>
      <c r="V49" s="580" t="n"/>
      <c r="W49" s="580" t="n"/>
      <c r="X49" s="580" t="n"/>
      <c r="Y49" s="580" t="n"/>
      <c r="Z49" s="580" t="n"/>
      <c r="AA49" s="580" t="n"/>
      <c r="AB49" s="580" t="n"/>
      <c r="AC49" s="580" t="n"/>
      <c r="AD49" s="580" t="n"/>
      <c r="AE49" s="2" t="n"/>
      <c r="AF49" s="2" t="n"/>
      <c r="AG49" s="2" t="n"/>
      <c r="AH49" s="2" t="n"/>
      <c r="AI49" s="2" t="n"/>
      <c r="AJ49" s="2" t="n"/>
      <c r="AK49" s="2" t="n"/>
    </row>
    <row r="50" ht="15.75" customHeight="1">
      <c r="A50" s="2" t="n"/>
      <c r="B50" s="578" t="inlineStr">
        <is>
          <t>Additional paid-in capital</t>
        </is>
      </c>
      <c r="C50" s="579" t="n">
        <v>243220709</v>
      </c>
      <c r="D50" s="579" t="n">
        <v>0.461</v>
      </c>
      <c r="E50" s="579" t="n">
        <v>0.472</v>
      </c>
      <c r="F50" s="579" t="n">
        <v>0.481</v>
      </c>
      <c r="G50" s="579" t="n">
        <v>0.487</v>
      </c>
      <c r="H50" s="579" t="n">
        <v>292.593</v>
      </c>
      <c r="I50" s="579" t="n">
        <v>313.901</v>
      </c>
      <c r="J50" s="579" t="n">
        <v>306.141</v>
      </c>
      <c r="K50" s="580" t="n"/>
      <c r="L50" s="580" t="n"/>
      <c r="M50" s="580" t="n"/>
      <c r="N50" s="580" t="n"/>
      <c r="O50" s="580" t="n"/>
      <c r="P50" s="580" t="n"/>
      <c r="Q50" s="580" t="n"/>
      <c r="R50" s="580" t="n"/>
      <c r="S50" s="580" t="n"/>
      <c r="T50" s="580" t="n"/>
      <c r="U50" s="580" t="n"/>
      <c r="V50" s="580" t="n"/>
      <c r="W50" s="580" t="n"/>
      <c r="X50" s="580" t="n"/>
      <c r="Y50" s="580" t="n"/>
      <c r="Z50" s="580">
        <f>Y50</f>
        <v/>
      </c>
      <c r="AA50" s="580">
        <f>Z50</f>
        <v/>
      </c>
      <c r="AB50" s="580">
        <f>AA50</f>
        <v/>
      </c>
      <c r="AC50" s="580">
        <f>AB50</f>
        <v/>
      </c>
      <c r="AD50" s="580">
        <f>AC50</f>
        <v/>
      </c>
      <c r="AE50" s="2" t="n"/>
      <c r="AF50" s="2" t="n"/>
      <c r="AG50" s="2" t="n"/>
      <c r="AH50" s="2" t="n"/>
      <c r="AI50" s="2" t="n"/>
      <c r="AJ50" s="2" t="n"/>
      <c r="AK50" s="2" t="n"/>
    </row>
    <row r="51" ht="15.75" customHeight="1">
      <c r="A51" s="2" t="n"/>
      <c r="B51" s="578" t="inlineStr">
        <is>
          <t>Retained earnings</t>
        </is>
      </c>
      <c r="C51" s="579" t="n">
        <v>50764127</v>
      </c>
      <c r="D51" s="579" t="n">
        <v>308.697</v>
      </c>
      <c r="E51" s="579" t="n">
        <v>321.032</v>
      </c>
      <c r="F51" s="579" t="n">
        <v>341.139</v>
      </c>
      <c r="G51" s="579" t="n">
        <v>365.627</v>
      </c>
      <c r="H51" s="579" t="n">
        <v>58.858</v>
      </c>
      <c r="I51" s="579" t="n">
        <v>94.973</v>
      </c>
      <c r="J51" s="579" t="n">
        <v>138.834</v>
      </c>
      <c r="K51" s="580" t="n"/>
      <c r="L51" s="580" t="n"/>
      <c r="M51" s="580" t="n"/>
      <c r="N51" s="580" t="n"/>
      <c r="O51" s="580" t="n"/>
      <c r="P51" s="580" t="n"/>
      <c r="Q51" s="580" t="n"/>
      <c r="R51" s="580" t="n"/>
      <c r="S51" s="580" t="n"/>
      <c r="T51" s="580" t="n"/>
      <c r="U51" s="580" t="n"/>
      <c r="V51" s="580" t="n"/>
      <c r="W51" s="580" t="n"/>
      <c r="X51" s="580" t="n"/>
      <c r="Y51" s="580" t="n"/>
      <c r="Z51" s="580">
        <f>Y51</f>
        <v/>
      </c>
      <c r="AA51" s="580">
        <f>Z51</f>
        <v/>
      </c>
      <c r="AB51" s="580">
        <f>AA51</f>
        <v/>
      </c>
      <c r="AC51" s="580">
        <f>AB51</f>
        <v/>
      </c>
      <c r="AD51" s="580">
        <f>AC51</f>
        <v/>
      </c>
      <c r="AE51" s="2" t="n"/>
      <c r="AF51" s="2" t="n"/>
      <c r="AG51" s="2" t="n"/>
      <c r="AH51" s="2" t="n"/>
      <c r="AI51" s="2" t="n"/>
      <c r="AJ51" s="2" t="n"/>
      <c r="AK51" s="2" t="n"/>
    </row>
    <row r="52" ht="15.75" customHeight="1">
      <c r="A52" s="2" t="n"/>
      <c r="B52" s="578" t="inlineStr">
        <is>
          <t>Total stockholders' equity</t>
        </is>
      </c>
      <c r="C52" s="579" t="n"/>
      <c r="D52" s="579" t="n">
        <v>0</v>
      </c>
      <c r="E52" s="579" t="n"/>
      <c r="F52" s="579" t="n"/>
      <c r="G52" s="579" t="n"/>
      <c r="H52" s="579" t="n">
        <v>351.455</v>
      </c>
      <c r="I52" s="579" t="n">
        <v>408.879</v>
      </c>
      <c r="J52" s="579" t="n">
        <v>444.98</v>
      </c>
      <c r="K52" s="580" t="n"/>
      <c r="L52" s="580" t="n"/>
      <c r="M52" s="580" t="n"/>
      <c r="N52" s="580" t="n"/>
      <c r="O52" s="580" t="n"/>
      <c r="P52" s="580" t="n"/>
      <c r="Q52" s="580" t="n"/>
      <c r="R52" s="580" t="n"/>
      <c r="S52" s="580" t="n"/>
      <c r="T52" s="580" t="n"/>
      <c r="U52" s="580" t="n"/>
      <c r="V52" s="580" t="n"/>
      <c r="W52" s="580" t="n"/>
      <c r="X52" s="580" t="n"/>
      <c r="Y52" s="580" t="n"/>
      <c r="Z52" s="580">
        <f>Y52</f>
        <v/>
      </c>
      <c r="AA52" s="580">
        <f>Z52</f>
        <v/>
      </c>
      <c r="AB52" s="580">
        <f>AA52</f>
        <v/>
      </c>
      <c r="AC52" s="580">
        <f>AB52</f>
        <v/>
      </c>
      <c r="AD52" s="580">
        <f>AC52</f>
        <v/>
      </c>
      <c r="AE52" s="2" t="n"/>
      <c r="AF52" s="2" t="n"/>
      <c r="AG52" s="2" t="n"/>
      <c r="AH52" s="2" t="n"/>
      <c r="AI52" s="2" t="n"/>
      <c r="AJ52" s="2" t="n"/>
      <c r="AK52" s="2" t="n"/>
    </row>
    <row r="53" ht="15.75" customHeight="1">
      <c r="A53" s="2" t="n"/>
      <c r="B53" s="578" t="inlineStr">
        <is>
          <t>Total equity</t>
        </is>
      </c>
      <c r="C53" s="579" t="n">
        <v>293985365</v>
      </c>
      <c r="D53" s="579" t="n">
        <v>-117.909</v>
      </c>
      <c r="E53" s="579" t="n">
        <v>-88.67700000000001</v>
      </c>
      <c r="F53" s="579" t="n">
        <v>-64.03100000000001</v>
      </c>
      <c r="G53" s="579" t="n">
        <v>-10.463</v>
      </c>
      <c r="H53" s="579" t="n">
        <v>0</v>
      </c>
      <c r="I53" s="579" t="n">
        <v>0</v>
      </c>
      <c r="J53" s="579" t="n">
        <v>0</v>
      </c>
      <c r="K53" s="580" t="n"/>
      <c r="L53" s="580" t="n"/>
      <c r="M53" s="580" t="n"/>
      <c r="N53" s="580" t="n"/>
      <c r="O53" s="580" t="n"/>
      <c r="P53" s="580" t="n"/>
      <c r="Q53" s="580" t="n"/>
      <c r="R53" s="580" t="n"/>
      <c r="S53" s="580" t="n"/>
      <c r="T53" s="580" t="n"/>
      <c r="U53" s="580" t="n"/>
      <c r="V53" s="580" t="n"/>
      <c r="W53" s="580" t="n"/>
      <c r="X53" s="580" t="n"/>
      <c r="Y53" s="580" t="n"/>
      <c r="Z53" s="580">
        <f>Y53+CFS!#REF!-CFS!#REF!+CFS!#REF!</f>
        <v/>
      </c>
      <c r="AA53" s="580">
        <f>Z53+CFS!#REF!-CFS!#REF!+CFS!#REF!</f>
        <v/>
      </c>
      <c r="AB53" s="580">
        <f>AA53+CFS!#REF!-CFS!#REF!+CFS!#REF!</f>
        <v/>
      </c>
      <c r="AC53" s="580">
        <f>AB53+CFS!#REF!-CFS!#REF!+CFS!#REF!</f>
        <v/>
      </c>
      <c r="AD53" s="580">
        <f>AC53+CFS!#REF!-CFS!#REF!+CFS!#REF!</f>
        <v/>
      </c>
      <c r="AE53" s="2" t="n"/>
      <c r="AF53" s="2" t="n"/>
      <c r="AG53" s="2" t="n"/>
      <c r="AH53" s="2" t="n"/>
      <c r="AI53" s="2" t="n"/>
      <c r="AJ53" s="2" t="n"/>
      <c r="AK53" s="2" t="n"/>
    </row>
    <row r="54" ht="15.75" customHeight="1">
      <c r="A54" s="2" t="n"/>
      <c r="B54" s="589" t="inlineStr">
        <is>
          <t>Total liabilities and stockholders' equity</t>
        </is>
      </c>
      <c r="C54" s="610" t="n">
        <v>343984256</v>
      </c>
      <c r="D54" s="610">
        <f>SUM(D50:D53)</f>
        <v/>
      </c>
      <c r="E54" s="610">
        <f>SUM(E50:E53)</f>
        <v/>
      </c>
      <c r="F54" s="610">
        <f>SUM(F50:F53)</f>
        <v/>
      </c>
      <c r="G54" s="610">
        <f>SUM(G50:G53)</f>
        <v/>
      </c>
      <c r="H54" s="610" t="n">
        <v>389.129</v>
      </c>
      <c r="I54" s="610" t="n">
        <v>487.485</v>
      </c>
      <c r="J54" s="610" t="n">
        <v>531.579</v>
      </c>
      <c r="K54" s="611" t="n"/>
      <c r="L54" s="611" t="n"/>
      <c r="M54" s="611" t="n"/>
      <c r="N54" s="611" t="n"/>
      <c r="O54" s="611" t="n"/>
      <c r="P54" s="611" t="n"/>
      <c r="Q54" s="611" t="n"/>
      <c r="R54" s="611" t="n"/>
      <c r="S54" s="611" t="n"/>
      <c r="T54" s="611" t="n"/>
      <c r="U54" s="611" t="n"/>
      <c r="V54" s="611" t="n"/>
      <c r="W54" s="611" t="n"/>
      <c r="X54" s="611" t="n"/>
      <c r="Y54" s="611" t="n"/>
      <c r="Z54" s="611">
        <f>SUM(Z50:Z53)</f>
        <v/>
      </c>
      <c r="AA54" s="611">
        <f>SUM(AA50:AA53)</f>
        <v/>
      </c>
      <c r="AB54" s="611">
        <f>SUM(AB50:AB53)</f>
        <v/>
      </c>
      <c r="AC54" s="611">
        <f>SUM(AC50:AC53)</f>
        <v/>
      </c>
      <c r="AD54" s="611">
        <f>SUM(AD50:AD53)</f>
        <v/>
      </c>
      <c r="AE54" s="2" t="n"/>
      <c r="AF54" s="2" t="n"/>
      <c r="AG54" s="2" t="n"/>
      <c r="AH54" s="2" t="n"/>
      <c r="AI54" s="2" t="n"/>
      <c r="AJ54" s="2" t="n"/>
      <c r="AK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 ht="15.75" customHeight="1">
      <c r="A56" s="2" t="n"/>
      <c r="B56" s="2" t="inlineStr">
        <is>
          <t>Model Check</t>
        </is>
      </c>
      <c r="C56" s="614">
        <f>C25-#REF!</f>
        <v/>
      </c>
      <c r="D56" s="614">
        <f>D25-#REF!</f>
        <v/>
      </c>
      <c r="E56" s="614">
        <f>E25-#REF!</f>
        <v/>
      </c>
      <c r="F56" s="614">
        <f>F25-#REF!</f>
        <v/>
      </c>
      <c r="G56" s="614">
        <f>G25-#REF!</f>
        <v/>
      </c>
      <c r="H56" s="588">
        <f>H31-H54</f>
        <v/>
      </c>
      <c r="I56" s="588">
        <f>I31-I54</f>
        <v/>
      </c>
      <c r="J56" s="588">
        <f>J31-J54</f>
        <v/>
      </c>
      <c r="K56" s="614" t="n"/>
      <c r="L56" s="614" t="n"/>
      <c r="M56" s="614" t="n"/>
      <c r="N56" s="614" t="n"/>
      <c r="O56" s="614" t="n"/>
      <c r="P56" s="614" t="n"/>
      <c r="Q56" s="614" t="n"/>
      <c r="R56" s="614" t="n"/>
      <c r="S56" s="614" t="n"/>
      <c r="T56" s="614" t="n"/>
      <c r="U56" s="614" t="n"/>
      <c r="V56" s="614" t="n"/>
      <c r="W56" s="614" t="n"/>
      <c r="X56" s="614" t="n"/>
      <c r="Y56" s="614" t="n"/>
      <c r="Z56" s="614">
        <f>Z25-#REF!</f>
        <v/>
      </c>
      <c r="AA56" s="614">
        <f>AA25-#REF!</f>
        <v/>
      </c>
      <c r="AB56" s="614">
        <f>AB25-#REF!</f>
        <v/>
      </c>
      <c r="AC56" s="614">
        <f>AC25-#REF!</f>
        <v/>
      </c>
      <c r="AD56" s="614">
        <f>AD25-#REF!</f>
        <v/>
      </c>
      <c r="AE56" s="2" t="n"/>
      <c r="AF56" s="2" t="n"/>
      <c r="AG56" s="2" t="n"/>
      <c r="AH56" s="2" t="n"/>
      <c r="AI56" s="2" t="n"/>
      <c r="AJ56" s="2" t="n"/>
      <c r="AK56" s="2" t="n"/>
    </row>
    <row r="57" ht="15.75" customHeight="1">
      <c r="A57" s="2" t="n"/>
      <c r="B57" s="2" t="n"/>
      <c r="C57" s="614" t="n"/>
      <c r="D57" s="614" t="n"/>
      <c r="E57" s="614" t="n"/>
      <c r="F57" s="614" t="n"/>
      <c r="G57" s="614" t="n"/>
      <c r="H57" s="614" t="n"/>
      <c r="I57" s="614" t="n"/>
      <c r="J57" s="614" t="n"/>
      <c r="K57" s="614" t="n"/>
      <c r="L57" s="614" t="n"/>
      <c r="M57" s="614" t="n"/>
      <c r="N57" s="614" t="n"/>
      <c r="O57" s="614" t="n"/>
      <c r="P57" s="614" t="n"/>
      <c r="Q57" s="614" t="n"/>
      <c r="R57" s="614" t="n"/>
      <c r="S57" s="614" t="n"/>
      <c r="T57" s="614" t="n"/>
      <c r="U57" s="614" t="n"/>
      <c r="V57" s="614" t="n"/>
      <c r="W57" s="614" t="n"/>
      <c r="X57" s="614" t="n"/>
      <c r="Y57" s="614" t="n"/>
      <c r="Z57" s="614" t="n"/>
      <c r="AA57" s="614" t="n"/>
      <c r="AB57" s="614" t="n"/>
      <c r="AC57" s="614" t="n"/>
      <c r="AD57" s="614" t="n"/>
      <c r="AE57" s="2" t="n"/>
      <c r="AF57" s="2" t="n"/>
      <c r="AG57" s="2" t="n"/>
      <c r="AH57" s="2" t="n"/>
      <c r="AI57" s="2" t="n"/>
      <c r="AJ57" s="2" t="n"/>
      <c r="AK57" s="2" t="n"/>
    </row>
    <row r="58" ht="15.75" customHeight="1">
      <c r="A58" s="2" t="n"/>
      <c r="B58" s="1" t="inlineStr">
        <is>
          <t>Extra Graphing Calculations:</t>
        </is>
      </c>
      <c r="C58" s="614" t="n"/>
      <c r="D58" s="614" t="n"/>
      <c r="E58" s="614" t="n"/>
      <c r="F58" s="614" t="n"/>
      <c r="G58" s="614" t="n"/>
      <c r="H58" s="614" t="n"/>
      <c r="I58" s="614" t="n"/>
      <c r="J58" s="614" t="n"/>
      <c r="K58" s="614" t="n"/>
      <c r="L58" s="614" t="n"/>
      <c r="M58" s="614" t="n"/>
      <c r="N58" s="614" t="n"/>
      <c r="O58" s="614" t="n"/>
      <c r="P58" s="614" t="n"/>
      <c r="Q58" s="614" t="n"/>
      <c r="R58" s="614" t="n"/>
      <c r="S58" s="614" t="n"/>
      <c r="T58" s="614" t="n"/>
      <c r="U58" s="614" t="n"/>
      <c r="V58" s="614" t="n"/>
      <c r="W58" s="614" t="n"/>
      <c r="X58" s="614" t="n"/>
      <c r="Y58" s="614" t="n"/>
      <c r="Z58" s="614" t="n"/>
      <c r="AA58" s="614" t="n"/>
      <c r="AB58" s="614" t="n"/>
      <c r="AC58" s="614" t="n"/>
      <c r="AD58" s="614" t="n"/>
      <c r="AE58" s="2" t="n"/>
      <c r="AF58" s="2" t="n"/>
      <c r="AG58" s="2" t="n"/>
      <c r="AH58" s="2" t="n"/>
      <c r="AI58" s="2" t="n"/>
      <c r="AJ58" s="2" t="n"/>
      <c r="AK58" s="2" t="n"/>
    </row>
    <row r="59" ht="15.75" customHeight="1">
      <c r="A59" s="2" t="n"/>
      <c r="B59" s="2" t="inlineStr">
        <is>
          <t>Other current liabilities (% Revenue)</t>
        </is>
      </c>
      <c r="C59" s="17">
        <f>C34/IS!C16</f>
        <v/>
      </c>
      <c r="D59" s="17">
        <f>D34/IS!D16</f>
        <v/>
      </c>
      <c r="E59" s="17">
        <f>E34/IS!E16</f>
        <v/>
      </c>
      <c r="F59" s="17">
        <f>F34/IS!F16</f>
        <v/>
      </c>
      <c r="G59" s="17">
        <f>G34/IS!G16</f>
        <v/>
      </c>
      <c r="H59" s="17">
        <f>H34/IS!H16</f>
        <v/>
      </c>
      <c r="I59" s="17">
        <f>I34/IS!I16</f>
        <v/>
      </c>
      <c r="J59" s="17">
        <f>J34/IS!J16</f>
        <v/>
      </c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>
        <f>Z34/IS!#REF!</f>
        <v/>
      </c>
      <c r="AA59" s="17">
        <f>AA34/IS!#REF!</f>
        <v/>
      </c>
      <c r="AB59" s="17">
        <f>AB34/IS!#REF!</f>
        <v/>
      </c>
      <c r="AC59" s="17">
        <f>AC34/IS!#REF!</f>
        <v/>
      </c>
      <c r="AD59" s="17">
        <f>AD34/IS!#REF!</f>
        <v/>
      </c>
      <c r="AE59" s="2" t="n"/>
      <c r="AF59" s="2" t="n"/>
      <c r="AG59" s="2" t="n"/>
      <c r="AH59" s="2" t="n"/>
      <c r="AI59" s="2" t="n"/>
      <c r="AJ59" s="2" t="n"/>
      <c r="AK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5" defaultRowHeight="15" customHeight="1"/>
  <cols>
    <col width="8.8320312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2023-01-28T19:24:22Z</dcterms:created>
  <dcterms:modified xsi:type="dcterms:W3CDTF">2026-04-20T12:17:26Z</dcterms:modified>
  <cp:lastModifiedBy>Donghua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{A44787D4-0540-4523-9961-78E4036D8C6D}" fmtid="{D5CDD505-2E9C-101B-9397-08002B2CF9AE}" pid="2">
    <vt:lpwstr>{5262CB91-1BB1-4E3D-81F4-E1CB41076B45}</vt:lpwstr>
  </property>
</Properties>
</file>