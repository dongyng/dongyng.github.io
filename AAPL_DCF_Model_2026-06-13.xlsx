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WAC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0.0"/>
    <numFmt numFmtId="167" formatCode="0.0000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666666"/>
      <sz val="10"/>
    </font>
    <font>
      <name val="Calibri"/>
      <b val="1"/>
      <color rgb="00000000"/>
      <sz val="11"/>
    </font>
    <font>
      <name val="Calibri"/>
      <color rgb="000000FF"/>
      <sz val="11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color rgb="00008000"/>
      <sz val="11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1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/>
      <top/>
      <bottom style="medium"/>
    </border>
    <border>
      <left/>
      <right/>
      <top/>
      <bottom style="medium"/>
    </border>
    <border>
      <left/>
      <right style="medium"/>
      <top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/>
      <right/>
      <top style="thin"/>
      <bottom style="double"/>
    </border>
    <border>
      <left/>
      <right/>
      <top style="thin"/>
      <bottom style="thin"/>
    </border>
    <border>
      <left/>
      <right style="medium"/>
      <top style="thin"/>
      <bottom style="double"/>
    </border>
    <border>
      <left/>
      <right style="medium"/>
      <top style="thin"/>
      <bottom style="thin"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4" fillId="2" borderId="0" pivotButton="0" quotePrefix="0" xfId="0"/>
    <xf numFmtId="0" fontId="5" fillId="0" borderId="0" pivotButton="0" quotePrefix="0" xfId="0"/>
    <xf numFmtId="0" fontId="6" fillId="3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3" pivotButton="0" quotePrefix="0" xfId="0"/>
    <xf numFmtId="164" fontId="4" fillId="2" borderId="4" pivotButton="0" quotePrefix="0" xfId="0"/>
    <xf numFmtId="3" fontId="4" fillId="2" borderId="4" pivotButton="0" quotePrefix="0" xfId="0"/>
    <xf numFmtId="3" fontId="5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5" fontId="4" fillId="2" borderId="4" pivotButton="0" quotePrefix="0" xfId="0"/>
    <xf numFmtId="0" fontId="5" fillId="0" borderId="6" pivotButton="0" quotePrefix="0" xfId="0"/>
    <xf numFmtId="165" fontId="4" fillId="2" borderId="7" pivotButton="0" quotePrefix="0" xfId="0"/>
    <xf numFmtId="0" fontId="3" fillId="4" borderId="9" pivotButton="0" quotePrefix="0" xfId="0"/>
    <xf numFmtId="0" fontId="3" fillId="4" borderId="2" applyAlignment="1" pivotButton="0" quotePrefix="0" xfId="0">
      <alignment horizontal="center"/>
    </xf>
    <xf numFmtId="0" fontId="3" fillId="4" borderId="10" applyAlignment="1" pivotButton="0" quotePrefix="0" xfId="0">
      <alignment horizontal="center"/>
    </xf>
    <xf numFmtId="165" fontId="4" fillId="2" borderId="5" pivotButton="0" quotePrefix="0" xfId="0"/>
    <xf numFmtId="165" fontId="5" fillId="0" borderId="4" pivotButton="0" quotePrefix="0" xfId="0"/>
    <xf numFmtId="165" fontId="5" fillId="0" borderId="5" pivotButton="0" quotePrefix="0" xfId="0"/>
    <xf numFmtId="165" fontId="5" fillId="0" borderId="7" pivotButton="0" quotePrefix="0" xfId="0"/>
    <xf numFmtId="0" fontId="3" fillId="0" borderId="3" pivotButton="0" quotePrefix="0" xfId="0"/>
    <xf numFmtId="3" fontId="5" fillId="0" borderId="5" pivotButton="0" quotePrefix="0" xfId="0"/>
    <xf numFmtId="0" fontId="5" fillId="0" borderId="3" applyAlignment="1" pivotButton="0" quotePrefix="0" xfId="0">
      <alignment indent="1"/>
    </xf>
    <xf numFmtId="0" fontId="3" fillId="0" borderId="6" pivotButton="0" quotePrefix="0" xfId="0"/>
    <xf numFmtId="3" fontId="3" fillId="0" borderId="18" pivotButton="0" quotePrefix="0" xfId="0"/>
    <xf numFmtId="3" fontId="3" fillId="0" borderId="20" pivotButton="0" quotePrefix="0" xfId="0"/>
    <xf numFmtId="3" fontId="3" fillId="0" borderId="17" pivotButton="0" quotePrefix="0" xfId="0"/>
    <xf numFmtId="3" fontId="3" fillId="0" borderId="19" pivotButton="0" quotePrefix="0" xfId="0"/>
    <xf numFmtId="0" fontId="5" fillId="0" borderId="6" applyAlignment="1" pivotButton="0" quotePrefix="0" xfId="0">
      <alignment indent="1"/>
    </xf>
    <xf numFmtId="165" fontId="5" fillId="0" borderId="8" pivotButton="0" quotePrefix="0" xfId="0"/>
    <xf numFmtId="166" fontId="5" fillId="0" borderId="4" pivotButton="0" quotePrefix="0" xfId="0"/>
    <xf numFmtId="166" fontId="5" fillId="0" borderId="5" pivotButton="0" quotePrefix="0" xfId="0"/>
    <xf numFmtId="167" fontId="5" fillId="0" borderId="4" pivotButton="0" quotePrefix="0" xfId="0"/>
    <xf numFmtId="167" fontId="5" fillId="0" borderId="5" pivotButton="0" quotePrefix="0" xfId="0"/>
    <xf numFmtId="3" fontId="3" fillId="0" borderId="8" pivotButton="0" quotePrefix="0" xfId="0"/>
    <xf numFmtId="3" fontId="3" fillId="0" borderId="4" pivotButton="0" quotePrefix="0" xfId="0"/>
    <xf numFmtId="3" fontId="3" fillId="5" borderId="4" pivotButton="0" quotePrefix="0" xfId="0"/>
    <xf numFmtId="164" fontId="3" fillId="5" borderId="4" pivotButton="0" quotePrefix="0" xfId="0"/>
    <xf numFmtId="164" fontId="5" fillId="0" borderId="4" pivotButton="0" quotePrefix="0" xfId="0"/>
    <xf numFmtId="165" fontId="3" fillId="5" borderId="4" pivotButton="0" quotePrefix="0" xfId="0"/>
    <xf numFmtId="0" fontId="3" fillId="4" borderId="11" pivotButton="0" quotePrefix="0" xfId="0"/>
    <xf numFmtId="0" fontId="0" fillId="0" borderId="12" pivotButton="0" quotePrefix="0" xfId="0"/>
    <xf numFmtId="0" fontId="0" fillId="0" borderId="13" pivotButton="0" quotePrefix="0" xfId="0"/>
    <xf numFmtId="165" fontId="4" fillId="4" borderId="2" applyAlignment="1" pivotButton="0" quotePrefix="0" xfId="0">
      <alignment horizontal="center"/>
    </xf>
    <xf numFmtId="165" fontId="4" fillId="4" borderId="10" applyAlignment="1" pivotButton="0" quotePrefix="0" xfId="0">
      <alignment horizontal="center"/>
    </xf>
    <xf numFmtId="165" fontId="4" fillId="4" borderId="9" pivotButton="0" quotePrefix="0" xfId="0"/>
    <xf numFmtId="164" fontId="5" fillId="0" borderId="2" pivotButton="0" quotePrefix="0" xfId="0"/>
    <xf numFmtId="164" fontId="5" fillId="0" borderId="10" pivotButton="0" quotePrefix="0" xfId="0"/>
    <xf numFmtId="164" fontId="3" fillId="5" borderId="2" pivotButton="0" quotePrefix="0" xfId="0"/>
    <xf numFmtId="165" fontId="4" fillId="4" borderId="14" pivotButton="0" quotePrefix="0" xfId="0"/>
    <xf numFmtId="164" fontId="5" fillId="0" borderId="15" pivotButton="0" quotePrefix="0" xfId="0"/>
    <xf numFmtId="164" fontId="5" fillId="0" borderId="16" pivotButton="0" quotePrefix="0" xfId="0"/>
    <xf numFmtId="2" fontId="4" fillId="4" borderId="9" pivotButton="0" quotePrefix="0" xfId="0"/>
    <xf numFmtId="2" fontId="4" fillId="4" borderId="14" pivotButton="0" quotePrefix="0" xfId="0"/>
    <xf numFmtId="10" fontId="4" fillId="2" borderId="4" pivotButton="0" quotePrefix="0" xfId="0"/>
    <xf numFmtId="2" fontId="4" fillId="2" borderId="4" pivotButton="0" quotePrefix="0" xfId="0"/>
    <xf numFmtId="10" fontId="3" fillId="5" borderId="7" pivotButton="0" quotePrefix="0" xfId="0"/>
    <xf numFmtId="165" fontId="7" fillId="0" borderId="4" pivotButton="0" quotePrefix="0" xfId="0"/>
    <xf numFmtId="10" fontId="5" fillId="0" borderId="7" pivotButton="0" quotePrefix="0" xfId="0"/>
    <xf numFmtId="164" fontId="7" fillId="0" borderId="4" pivotButton="0" quotePrefix="0" xfId="0"/>
    <xf numFmtId="3" fontId="7" fillId="0" borderId="4" pivotButton="0" quotePrefix="0" xfId="0"/>
    <xf numFmtId="3" fontId="3" fillId="5" borderId="7" pivotButton="0" quotePrefix="0" xfId="0"/>
    <xf numFmtId="0" fontId="3" fillId="4" borderId="2" pivotButton="0" quotePrefix="0" xfId="0"/>
    <xf numFmtId="0" fontId="3" fillId="4" borderId="10" pivotButton="0" quotePrefix="0" xfId="0"/>
    <xf numFmtId="10" fontId="5" fillId="0" borderId="4" pivotButton="0" quotePrefix="0" xfId="0"/>
    <xf numFmtId="10" fontId="5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Model</author>
  </authors>
  <commentList>
    <comment ref="B4" authorId="0" shapeId="0">
      <text>
        <t>Source: User input: 1=Bear 2=Base 3=Bull</t>
      </text>
    </comment>
    <comment ref="B9" authorId="0" shapeId="0">
      <text>
        <t>Source: Market data 2026-06-12, AAPL close price</t>
      </text>
    </comment>
    <comment ref="B10" authorId="0" shapeId="0">
      <text>
        <t>Source: 10-K FY2025, Diluted shares outstanding</t>
      </text>
    </comment>
    <comment ref="B12" authorId="0" shapeId="0">
      <text>
        <t>Source: FY2025 Balance Sheet, Total Cash &amp; Investments minus Total Debt</t>
      </text>
    </comment>
    <comment ref="B15" authorId="0" shapeId="0">
      <text>
        <t>Source: Apple effective tax rate, FY2025 10-K</t>
      </text>
    </comment>
    <comment ref="B16" authorId="0" shapeId="0">
      <text>
        <t>Source: Historical average FY2021-FY2025, Cash Flow Statements</t>
      </text>
    </comment>
    <comment ref="B17" authorId="0" shapeId="0">
      <text>
        <t>Source: Historical average FY2021-FY2025, Cash Flow Statements</t>
      </text>
    </comment>
    <comment ref="B18" authorId="0" shapeId="0">
      <text>
        <t>Source: Model estimate based on historical working capital patterns</t>
      </text>
    </comment>
    <comment ref="B19" authorId="0" shapeId="0">
      <text>
        <t>Source: Damodaran implied ERP, June 2026</t>
      </text>
    </comment>
    <comment ref="H23" authorId="0" shapeId="0">
      <text>
        <t>Source: Analyst estimate, revenue growth assumption</t>
      </text>
    </comment>
    <comment ref="I23" authorId="0" shapeId="0">
      <text>
        <t>Source: Analyst estimate, revenue growth assumption</t>
      </text>
    </comment>
    <comment ref="J23" authorId="0" shapeId="0">
      <text>
        <t>Source: Analyst estimate, revenue growth assumption</t>
      </text>
    </comment>
    <comment ref="K23" authorId="0" shapeId="0">
      <text>
        <t>Source: Analyst estimate, revenue growth assumption</t>
      </text>
    </comment>
    <comment ref="L23" authorId="0" shapeId="0">
      <text>
        <t>Source: Analyst estimate, revenue growth assumption</t>
      </text>
    </comment>
    <comment ref="M23" authorId="0" shapeId="0">
      <text>
        <t>Source: Analyst estimate, revenue growth assumption</t>
      </text>
    </comment>
    <comment ref="N23" authorId="0" shapeId="0">
      <text>
        <t>Source: Analyst estimate, revenue growth assumption</t>
      </text>
    </comment>
    <comment ref="O23" authorId="0" shapeId="0">
      <text>
        <t>Source: Analyst estimate, revenue growth assumption</t>
      </text>
    </comment>
    <comment ref="P23" authorId="0" shapeId="0">
      <text>
        <t>Source: Analyst estimate, revenue growth assumption</t>
      </text>
    </comment>
    <comment ref="Q23" authorId="0" shapeId="0">
      <text>
        <t>Source: Analyst estimate, revenue growth assumption</t>
      </text>
    </comment>
    <comment ref="H24" authorId="0" shapeId="0">
      <text>
        <t>Source: Analyst estimate, operating margin assumption</t>
      </text>
    </comment>
    <comment ref="I24" authorId="0" shapeId="0">
      <text>
        <t>Source: Analyst estimate, operating margin assumption</t>
      </text>
    </comment>
    <comment ref="J24" authorId="0" shapeId="0">
      <text>
        <t>Source: Analyst estimate, operating margin assumption</t>
      </text>
    </comment>
    <comment ref="K24" authorId="0" shapeId="0">
      <text>
        <t>Source: Analyst estimate, operating margin assumption</t>
      </text>
    </comment>
    <comment ref="L24" authorId="0" shapeId="0">
      <text>
        <t>Source: Analyst estimate, operating margin assumption</t>
      </text>
    </comment>
    <comment ref="M24" authorId="0" shapeId="0">
      <text>
        <t>Source: Analyst estimate, operating margin assumption</t>
      </text>
    </comment>
    <comment ref="N24" authorId="0" shapeId="0">
      <text>
        <t>Source: Analyst estimate, operating margin assumption</t>
      </text>
    </comment>
    <comment ref="O24" authorId="0" shapeId="0">
      <text>
        <t>Source: Analyst estimate, operating margin assumption</t>
      </text>
    </comment>
    <comment ref="P24" authorId="0" shapeId="0">
      <text>
        <t>Source: Analyst estimate, operating margin assumption</t>
      </text>
    </comment>
    <comment ref="Q24" authorId="0" shapeId="0">
      <text>
        <t>Source: Analyst estimate, operating margin assumption</t>
      </text>
    </comment>
    <comment ref="B25" authorId="0" shapeId="0">
      <text>
        <t>Source: GDP-aligned long-term growth estimate</t>
      </text>
    </comment>
    <comment ref="B26" authorId="0" shapeId="0">
      <text>
        <t>Source: CAPM-derived, see WACC sheet for calculation</t>
      </text>
    </comment>
    <comment ref="H30" authorId="0" shapeId="0">
      <text>
        <t>Source: Analyst estimate, revenue growth assumption</t>
      </text>
    </comment>
    <comment ref="I30" authorId="0" shapeId="0">
      <text>
        <t>Source: Analyst estimate, revenue growth assumption</t>
      </text>
    </comment>
    <comment ref="J30" authorId="0" shapeId="0">
      <text>
        <t>Source: Analyst estimate, revenue growth assumption</t>
      </text>
    </comment>
    <comment ref="K30" authorId="0" shapeId="0">
      <text>
        <t>Source: Analyst estimate, revenue growth assumption</t>
      </text>
    </comment>
    <comment ref="L30" authorId="0" shapeId="0">
      <text>
        <t>Source: Analyst estimate, revenue growth assumption</t>
      </text>
    </comment>
    <comment ref="M30" authorId="0" shapeId="0">
      <text>
        <t>Source: Analyst estimate, revenue growth assumption</t>
      </text>
    </comment>
    <comment ref="N30" authorId="0" shapeId="0">
      <text>
        <t>Source: Analyst estimate, revenue growth assumption</t>
      </text>
    </comment>
    <comment ref="O30" authorId="0" shapeId="0">
      <text>
        <t>Source: Analyst estimate, revenue growth assumption</t>
      </text>
    </comment>
    <comment ref="P30" authorId="0" shapeId="0">
      <text>
        <t>Source: Analyst estimate, revenue growth assumption</t>
      </text>
    </comment>
    <comment ref="Q30" authorId="0" shapeId="0">
      <text>
        <t>Source: Analyst estimate, revenue growth assumption</t>
      </text>
    </comment>
    <comment ref="H31" authorId="0" shapeId="0">
      <text>
        <t>Source: Analyst estimate, operating margin assumption</t>
      </text>
    </comment>
    <comment ref="I31" authorId="0" shapeId="0">
      <text>
        <t>Source: Analyst estimate, operating margin assumption</t>
      </text>
    </comment>
    <comment ref="J31" authorId="0" shapeId="0">
      <text>
        <t>Source: Analyst estimate, operating margin assumption</t>
      </text>
    </comment>
    <comment ref="K31" authorId="0" shapeId="0">
      <text>
        <t>Source: Analyst estimate, operating margin assumption</t>
      </text>
    </comment>
    <comment ref="L31" authorId="0" shapeId="0">
      <text>
        <t>Source: Analyst estimate, operating margin assumption</t>
      </text>
    </comment>
    <comment ref="M31" authorId="0" shapeId="0">
      <text>
        <t>Source: Analyst estimate, operating margin assumption</t>
      </text>
    </comment>
    <comment ref="N31" authorId="0" shapeId="0">
      <text>
        <t>Source: Analyst estimate, operating margin assumption</t>
      </text>
    </comment>
    <comment ref="O31" authorId="0" shapeId="0">
      <text>
        <t>Source: Analyst estimate, operating margin assumption</t>
      </text>
    </comment>
    <comment ref="P31" authorId="0" shapeId="0">
      <text>
        <t>Source: Analyst estimate, operating margin assumption</t>
      </text>
    </comment>
    <comment ref="Q31" authorId="0" shapeId="0">
      <text>
        <t>Source: Analyst estimate, operating margin assumption</t>
      </text>
    </comment>
    <comment ref="B32" authorId="0" shapeId="0">
      <text>
        <t>Source: GDP-aligned long-term growth estimate</t>
      </text>
    </comment>
    <comment ref="B33" authorId="0" shapeId="0">
      <text>
        <t>Source: CAPM-derived, see WACC sheet for calculation</t>
      </text>
    </comment>
    <comment ref="H37" authorId="0" shapeId="0">
      <text>
        <t>Source: Analyst estimate, revenue growth assumption</t>
      </text>
    </comment>
    <comment ref="I37" authorId="0" shapeId="0">
      <text>
        <t>Source: Analyst estimate, revenue growth assumption</t>
      </text>
    </comment>
    <comment ref="J37" authorId="0" shapeId="0">
      <text>
        <t>Source: Analyst estimate, revenue growth assumption</t>
      </text>
    </comment>
    <comment ref="K37" authorId="0" shapeId="0">
      <text>
        <t>Source: Analyst estimate, revenue growth assumption</t>
      </text>
    </comment>
    <comment ref="L37" authorId="0" shapeId="0">
      <text>
        <t>Source: Analyst estimate, revenue growth assumption</t>
      </text>
    </comment>
    <comment ref="M37" authorId="0" shapeId="0">
      <text>
        <t>Source: Analyst estimate, revenue growth assumption</t>
      </text>
    </comment>
    <comment ref="N37" authorId="0" shapeId="0">
      <text>
        <t>Source: Analyst estimate, revenue growth assumption</t>
      </text>
    </comment>
    <comment ref="O37" authorId="0" shapeId="0">
      <text>
        <t>Source: Analyst estimate, revenue growth assumption</t>
      </text>
    </comment>
    <comment ref="P37" authorId="0" shapeId="0">
      <text>
        <t>Source: Analyst estimate, revenue growth assumption</t>
      </text>
    </comment>
    <comment ref="Q37" authorId="0" shapeId="0">
      <text>
        <t>Source: Analyst estimate, revenue growth assumption</t>
      </text>
    </comment>
    <comment ref="H38" authorId="0" shapeId="0">
      <text>
        <t>Source: Analyst estimate, operating margin assumption</t>
      </text>
    </comment>
    <comment ref="I38" authorId="0" shapeId="0">
      <text>
        <t>Source: Analyst estimate, operating margin assumption</t>
      </text>
    </comment>
    <comment ref="J38" authorId="0" shapeId="0">
      <text>
        <t>Source: Analyst estimate, operating margin assumption</t>
      </text>
    </comment>
    <comment ref="K38" authorId="0" shapeId="0">
      <text>
        <t>Source: Analyst estimate, operating margin assumption</t>
      </text>
    </comment>
    <comment ref="L38" authorId="0" shapeId="0">
      <text>
        <t>Source: Analyst estimate, operating margin assumption</t>
      </text>
    </comment>
    <comment ref="M38" authorId="0" shapeId="0">
      <text>
        <t>Source: Analyst estimate, operating margin assumption</t>
      </text>
    </comment>
    <comment ref="N38" authorId="0" shapeId="0">
      <text>
        <t>Source: Analyst estimate, operating margin assumption</t>
      </text>
    </comment>
    <comment ref="O38" authorId="0" shapeId="0">
      <text>
        <t>Source: Analyst estimate, operating margin assumption</t>
      </text>
    </comment>
    <comment ref="P38" authorId="0" shapeId="0">
      <text>
        <t>Source: Analyst estimate, operating margin assumption</t>
      </text>
    </comment>
    <comment ref="Q38" authorId="0" shapeId="0">
      <text>
        <t>Source: Analyst estimate, operating margin assumption</t>
      </text>
    </comment>
    <comment ref="B39" authorId="0" shapeId="0">
      <text>
        <t>Source: GDP-aligned long-term growth estimate</t>
      </text>
    </comment>
    <comment ref="B40" authorId="0" shapeId="0">
      <text>
        <t>Source: CAPM-derived, see WACC sheet for calculation</t>
      </text>
    </comment>
    <comment ref="C51" authorId="0" shapeId="0">
      <text>
        <t>Source: 10-K FY2021, Consolidated Statements of Operations</t>
      </text>
    </comment>
    <comment ref="D51" authorId="0" shapeId="0">
      <text>
        <t>Source: 10-K FY2022, Consolidated Statements of Operations</t>
      </text>
    </comment>
    <comment ref="E51" authorId="0" shapeId="0">
      <text>
        <t>Source: 10-K FY2023, Consolidated Statements of Operations</t>
      </text>
    </comment>
    <comment ref="F51" authorId="0" shapeId="0">
      <text>
        <t>Source: 10-K FY2024, Consolidated Statements of Operations</t>
      </text>
    </comment>
    <comment ref="G51" authorId="0" shapeId="0">
      <text>
        <t>Source: 10-K FY2025, Consolidated Statements of Operations</t>
      </text>
    </comment>
    <comment ref="C54" authorId="0" shapeId="0">
      <text>
        <t>Source: 10-K FY2021, Operating Income</t>
      </text>
    </comment>
    <comment ref="D54" authorId="0" shapeId="0">
      <text>
        <t>Source: 10-K FY2022, Operating Income</t>
      </text>
    </comment>
    <comment ref="E54" authorId="0" shapeId="0">
      <text>
        <t>Source: 10-K FY2023, Operating Income</t>
      </text>
    </comment>
    <comment ref="F54" authorId="0" shapeId="0">
      <text>
        <t>Source: 10-K FY2024, Operating Income</t>
      </text>
    </comment>
    <comment ref="G54" authorId="0" shapeId="0">
      <text>
        <t>Source: 10-K FY2025, Operating Income</t>
      </text>
    </comment>
    <comment ref="C65" authorId="0" shapeId="0">
      <text>
        <t>Source: 10-K FY2021, Cash Flow Statement</t>
      </text>
    </comment>
    <comment ref="D65" authorId="0" shapeId="0">
      <text>
        <t>Source: 10-K FY2022, Cash Flow Statement</t>
      </text>
    </comment>
    <comment ref="E65" authorId="0" shapeId="0">
      <text>
        <t>Source: 10-K FY2023, Cash Flow Statement</t>
      </text>
    </comment>
    <comment ref="F65" authorId="0" shapeId="0">
      <text>
        <t>Source: 10-K FY2024, Cash Flow Statement</t>
      </text>
    </comment>
    <comment ref="G65" authorId="0" shapeId="0">
      <text>
        <t>Source: 10-K FY2025, Cash Flow Statement</t>
      </text>
    </comment>
    <comment ref="C67" authorId="0" shapeId="0">
      <text>
        <t>Source: 10-K FY2021, Cash Flow Statement</t>
      </text>
    </comment>
    <comment ref="D67" authorId="0" shapeId="0">
      <text>
        <t>Source: 10-K FY2022, Cash Flow Statement</t>
      </text>
    </comment>
    <comment ref="E67" authorId="0" shapeId="0">
      <text>
        <t>Source: 10-K FY2023, Cash Flow Statement</t>
      </text>
    </comment>
    <comment ref="F67" authorId="0" shapeId="0">
      <text>
        <t>Source: 10-K FY2024, Cash Flow Statement</t>
      </text>
    </comment>
    <comment ref="G67" authorId="0" shapeId="0">
      <text>
        <t>Source: 10-K FY2025, Cash Flow Statement</t>
      </text>
    </comment>
    <comment ref="C69" authorId="0" shapeId="0">
      <text>
        <t>Source: 10-K FY2021, Cash Flow Statement, Working Capital Change</t>
      </text>
    </comment>
    <comment ref="D69" authorId="0" shapeId="0">
      <text>
        <t>Source: 10-K FY2022, Cash Flow Statement, Working Capital Change</t>
      </text>
    </comment>
    <comment ref="E69" authorId="0" shapeId="0">
      <text>
        <t>Source: 10-K FY2023, Cash Flow Statement, Working Capital Change</t>
      </text>
    </comment>
    <comment ref="F69" authorId="0" shapeId="0">
      <text>
        <t>Source: 10-K FY2024, Cash Flow Statement, Working Capital Change</t>
      </text>
    </comment>
    <comment ref="G69" authorId="0" shapeId="0">
      <text>
        <t>Source: 10-K FY2025, Cash Flow Statement, Working Capital Change</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B6" authorId="0" shapeId="0">
      <text>
        <t>Source: US 10-Year Treasury yield, June 2026</t>
      </text>
    </comment>
    <comment ref="B7" authorId="0" shapeId="0">
      <text>
        <t>Source: Yahoo Finance / stockanalysis.com, 5-year monthly beta</t>
      </text>
    </comment>
    <comment ref="B8" authorId="0" shapeId="0">
      <text>
        <t>Source: Damodaran implied equity risk premium, June 2026</t>
      </text>
    </comment>
    <comment ref="B13" authorId="0" shapeId="0">
      <text>
        <t>Source: Estimated from Apple corporate bond yields, June 2026</t>
      </text>
    </comment>
    <comment ref="B23" authorId="0" shapeId="0">
      <text>
        <t>Source: 10-K FY2025, Balance Sheet, Total short-term + long-term debt</t>
      </text>
    </comment>
    <comment ref="B24" authorId="0" shapeId="0">
      <text>
        <t>Source: 10-K FY2025, Balance Sheet, Cash + all marketable securities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Q126"/>
  <sheetViews>
    <sheetView workbookViewId="0">
      <pane xSplit="2" ySplit="50" topLeftCell="C5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Apple Inc. (AAPL) — 10-Year DCF Model</t>
        </is>
      </c>
    </row>
    <row r="2">
      <c r="A2" s="2" t="inlineStr">
        <is>
          <t>Ticker: AAPL  |  Date: 2026-06-13  |  Fiscal Year End: September</t>
        </is>
      </c>
    </row>
    <row r="4">
      <c r="A4" s="3" t="inlineStr">
        <is>
          <t>Case Selector (1=Bear, 2=Base, 3=Bull)</t>
        </is>
      </c>
      <c r="B4" s="4" t="n">
        <v>2</v>
      </c>
      <c r="D4" s="5">
        <f>CHOOSE(B4,"Bear Case","Base Case","Bull Case")</f>
        <v/>
      </c>
    </row>
    <row r="7">
      <c r="A7" s="6" t="inlineStr">
        <is>
          <t>MARKET DATA &amp; KEY INPUTS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A8" s="7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9" t="n"/>
    </row>
    <row r="9">
      <c r="A9" s="10" t="inlineStr">
        <is>
          <t>Current Stock Price ($)</t>
        </is>
      </c>
      <c r="B9" s="11" t="n">
        <v>291.13</v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9" t="n"/>
    </row>
    <row r="10">
      <c r="A10" s="10" t="inlineStr">
        <is>
          <t>Shares Outstanding (Diluted, M)</t>
        </is>
      </c>
      <c r="B10" s="12" t="n">
        <v>14690</v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9" t="n"/>
    </row>
    <row r="11">
      <c r="A11" s="10" t="inlineStr">
        <is>
          <t>Market Capitalization ($M)</t>
        </is>
      </c>
      <c r="B11" s="13">
        <f>B9*B10</f>
        <v/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9" t="n"/>
    </row>
    <row r="12">
      <c r="A12" s="10" t="inlineStr">
        <is>
          <t>Net Cash ($M)</t>
        </is>
      </c>
      <c r="B12" s="12" t="n">
        <v>61880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9" t="n"/>
    </row>
    <row r="13">
      <c r="A13" s="14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6" t="n"/>
    </row>
    <row r="14">
      <c r="A14" s="6" t="inlineStr">
        <is>
          <t>COMMON ASSUMPTIONS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</row>
    <row r="15">
      <c r="A15" s="10" t="inlineStr">
        <is>
          <t>Tax Rate</t>
        </is>
      </c>
      <c r="B15" s="17" t="n">
        <v>0.16</v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</row>
    <row r="16">
      <c r="A16" s="10" t="inlineStr">
        <is>
          <t>D&amp;A % of Revenue</t>
        </is>
      </c>
      <c r="B16" s="17" t="n">
        <v>0.028</v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9" t="n"/>
    </row>
    <row r="17">
      <c r="A17" s="10" t="inlineStr">
        <is>
          <t>CapEx % of Revenue</t>
        </is>
      </c>
      <c r="B17" s="17" t="n">
        <v>0.03</v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9" t="n"/>
    </row>
    <row r="18">
      <c r="A18" s="10" t="inlineStr">
        <is>
          <t>NWC Δ % of ΔRevenue</t>
        </is>
      </c>
      <c r="B18" s="17" t="n">
        <v>0.01</v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9" t="n"/>
    </row>
    <row r="19">
      <c r="A19" s="18" t="inlineStr">
        <is>
          <t>Equity Risk Premium</t>
        </is>
      </c>
      <c r="B19" s="19" t="n">
        <v>0.055</v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6" t="n"/>
    </row>
    <row r="21">
      <c r="A21" s="6" t="inlineStr">
        <is>
          <t>BEAR CASE ASSUMPTIONS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>
      <c r="A22" s="20" t="inlineStr">
        <is>
          <t>Assumption</t>
        </is>
      </c>
      <c r="B22" s="8" t="n"/>
      <c r="C22" s="8" t="n"/>
      <c r="D22" s="8" t="n"/>
      <c r="E22" s="8" t="n"/>
      <c r="F22" s="8" t="n"/>
      <c r="G22" s="8" t="n"/>
      <c r="H22" s="21" t="inlineStr">
        <is>
          <t>FY2026E</t>
        </is>
      </c>
      <c r="I22" s="21" t="inlineStr">
        <is>
          <t>FY2027E</t>
        </is>
      </c>
      <c r="J22" s="21" t="inlineStr">
        <is>
          <t>FY2028E</t>
        </is>
      </c>
      <c r="K22" s="21" t="inlineStr">
        <is>
          <t>FY2029E</t>
        </is>
      </c>
      <c r="L22" s="21" t="inlineStr">
        <is>
          <t>FY2030E</t>
        </is>
      </c>
      <c r="M22" s="21" t="inlineStr">
        <is>
          <t>FY2031E</t>
        </is>
      </c>
      <c r="N22" s="21" t="inlineStr">
        <is>
          <t>FY2032E</t>
        </is>
      </c>
      <c r="O22" s="21" t="inlineStr">
        <is>
          <t>FY2033E</t>
        </is>
      </c>
      <c r="P22" s="21" t="inlineStr">
        <is>
          <t>FY2034E</t>
        </is>
      </c>
      <c r="Q22" s="22" t="inlineStr">
        <is>
          <t>FY2035E</t>
        </is>
      </c>
    </row>
    <row r="23">
      <c r="A23" s="10" t="inlineStr">
        <is>
          <t>Revenue Growth (%)</t>
        </is>
      </c>
      <c r="B23" s="8" t="n"/>
      <c r="C23" s="8" t="n"/>
      <c r="D23" s="8" t="n"/>
      <c r="E23" s="8" t="n"/>
      <c r="F23" s="8" t="n"/>
      <c r="G23" s="8" t="n"/>
      <c r="H23" s="17" t="n">
        <v>0.05</v>
      </c>
      <c r="I23" s="17" t="n">
        <v>0.045</v>
      </c>
      <c r="J23" s="17" t="n">
        <v>0.04</v>
      </c>
      <c r="K23" s="17" t="n">
        <v>0.035</v>
      </c>
      <c r="L23" s="17" t="n">
        <v>0.03</v>
      </c>
      <c r="M23" s="17" t="n">
        <v>0.025</v>
      </c>
      <c r="N23" s="17" t="n">
        <v>0.025</v>
      </c>
      <c r="O23" s="17" t="n">
        <v>0.02</v>
      </c>
      <c r="P23" s="17" t="n">
        <v>0.02</v>
      </c>
      <c r="Q23" s="23" t="n">
        <v>0.02</v>
      </c>
    </row>
    <row r="24">
      <c r="A24" s="10" t="inlineStr">
        <is>
          <t>EBIT Margin (%)</t>
        </is>
      </c>
      <c r="B24" s="8" t="n"/>
      <c r="C24" s="8" t="n"/>
      <c r="D24" s="8" t="n"/>
      <c r="E24" s="8" t="n"/>
      <c r="F24" s="8" t="n"/>
      <c r="G24" s="8" t="n"/>
      <c r="H24" s="17" t="n">
        <v>0.3</v>
      </c>
      <c r="I24" s="17" t="n">
        <v>0.3</v>
      </c>
      <c r="J24" s="17" t="n">
        <v>0.295</v>
      </c>
      <c r="K24" s="17" t="n">
        <v>0.295</v>
      </c>
      <c r="L24" s="17" t="n">
        <v>0.29</v>
      </c>
      <c r="M24" s="17" t="n">
        <v>0.29</v>
      </c>
      <c r="N24" s="17" t="n">
        <v>0.285</v>
      </c>
      <c r="O24" s="17" t="n">
        <v>0.285</v>
      </c>
      <c r="P24" s="17" t="n">
        <v>0.28</v>
      </c>
      <c r="Q24" s="23" t="n">
        <v>0.28</v>
      </c>
    </row>
    <row r="25">
      <c r="A25" s="10" t="inlineStr">
        <is>
          <t>Terminal Growth Rate</t>
        </is>
      </c>
      <c r="B25" s="17" t="n">
        <v>0.02</v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9" t="n"/>
    </row>
    <row r="26">
      <c r="A26" s="18" t="inlineStr">
        <is>
          <t>WACC</t>
        </is>
      </c>
      <c r="B26" s="19" t="n">
        <v>0.11</v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6" t="n"/>
    </row>
    <row r="28">
      <c r="A28" s="6" t="inlineStr">
        <is>
          <t>BASE CASE ASSUMPTIONS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</row>
    <row r="29">
      <c r="A29" s="20" t="inlineStr">
        <is>
          <t>Assumption</t>
        </is>
      </c>
      <c r="B29" s="8" t="n"/>
      <c r="C29" s="8" t="n"/>
      <c r="D29" s="8" t="n"/>
      <c r="E29" s="8" t="n"/>
      <c r="F29" s="8" t="n"/>
      <c r="G29" s="8" t="n"/>
      <c r="H29" s="21" t="inlineStr">
        <is>
          <t>FY2026E</t>
        </is>
      </c>
      <c r="I29" s="21" t="inlineStr">
        <is>
          <t>FY2027E</t>
        </is>
      </c>
      <c r="J29" s="21" t="inlineStr">
        <is>
          <t>FY2028E</t>
        </is>
      </c>
      <c r="K29" s="21" t="inlineStr">
        <is>
          <t>FY2029E</t>
        </is>
      </c>
      <c r="L29" s="21" t="inlineStr">
        <is>
          <t>FY2030E</t>
        </is>
      </c>
      <c r="M29" s="21" t="inlineStr">
        <is>
          <t>FY2031E</t>
        </is>
      </c>
      <c r="N29" s="21" t="inlineStr">
        <is>
          <t>FY2032E</t>
        </is>
      </c>
      <c r="O29" s="21" t="inlineStr">
        <is>
          <t>FY2033E</t>
        </is>
      </c>
      <c r="P29" s="21" t="inlineStr">
        <is>
          <t>FY2034E</t>
        </is>
      </c>
      <c r="Q29" s="22" t="inlineStr">
        <is>
          <t>FY2035E</t>
        </is>
      </c>
    </row>
    <row r="30">
      <c r="A30" s="10" t="inlineStr">
        <is>
          <t>Revenue Growth (%)</t>
        </is>
      </c>
      <c r="B30" s="8" t="n"/>
      <c r="C30" s="8" t="n"/>
      <c r="D30" s="8" t="n"/>
      <c r="E30" s="8" t="n"/>
      <c r="F30" s="8" t="n"/>
      <c r="G30" s="8" t="n"/>
      <c r="H30" s="17" t="n">
        <v>0.07000000000000001</v>
      </c>
      <c r="I30" s="17" t="n">
        <v>0.06</v>
      </c>
      <c r="J30" s="17" t="n">
        <v>0.06</v>
      </c>
      <c r="K30" s="17" t="n">
        <v>0.05</v>
      </c>
      <c r="L30" s="17" t="n">
        <v>0.05</v>
      </c>
      <c r="M30" s="17" t="n">
        <v>0.04</v>
      </c>
      <c r="N30" s="17" t="n">
        <v>0.04</v>
      </c>
      <c r="O30" s="17" t="n">
        <v>0.035</v>
      </c>
      <c r="P30" s="17" t="n">
        <v>0.03</v>
      </c>
      <c r="Q30" s="23" t="n">
        <v>0.03</v>
      </c>
    </row>
    <row r="31">
      <c r="A31" s="10" t="inlineStr">
        <is>
          <t>EBIT Margin (%)</t>
        </is>
      </c>
      <c r="B31" s="8" t="n"/>
      <c r="C31" s="8" t="n"/>
      <c r="D31" s="8" t="n"/>
      <c r="E31" s="8" t="n"/>
      <c r="F31" s="8" t="n"/>
      <c r="G31" s="8" t="n"/>
      <c r="H31" s="17" t="n">
        <v>0.32</v>
      </c>
      <c r="I31" s="17" t="n">
        <v>0.325</v>
      </c>
      <c r="J31" s="17" t="n">
        <v>0.33</v>
      </c>
      <c r="K31" s="17" t="n">
        <v>0.335</v>
      </c>
      <c r="L31" s="17" t="n">
        <v>0.34</v>
      </c>
      <c r="M31" s="17" t="n">
        <v>0.34</v>
      </c>
      <c r="N31" s="17" t="n">
        <v>0.345</v>
      </c>
      <c r="O31" s="17" t="n">
        <v>0.345</v>
      </c>
      <c r="P31" s="17" t="n">
        <v>0.35</v>
      </c>
      <c r="Q31" s="23" t="n">
        <v>0.35</v>
      </c>
    </row>
    <row r="32">
      <c r="A32" s="10" t="inlineStr">
        <is>
          <t>Terminal Growth Rate</t>
        </is>
      </c>
      <c r="B32" s="17" t="n">
        <v>0.03</v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9" t="n"/>
    </row>
    <row r="33">
      <c r="A33" s="18" t="inlineStr">
        <is>
          <t>WACC</t>
        </is>
      </c>
      <c r="B33" s="19" t="n">
        <v>0.1</v>
      </c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6" t="n"/>
    </row>
    <row r="35">
      <c r="A35" s="6" t="inlineStr">
        <is>
          <t>BULL CASE ASSUMPTIONS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>
      <c r="A36" s="20" t="inlineStr">
        <is>
          <t>Assumption</t>
        </is>
      </c>
      <c r="B36" s="8" t="n"/>
      <c r="C36" s="8" t="n"/>
      <c r="D36" s="8" t="n"/>
      <c r="E36" s="8" t="n"/>
      <c r="F36" s="8" t="n"/>
      <c r="G36" s="8" t="n"/>
      <c r="H36" s="21" t="inlineStr">
        <is>
          <t>FY2026E</t>
        </is>
      </c>
      <c r="I36" s="21" t="inlineStr">
        <is>
          <t>FY2027E</t>
        </is>
      </c>
      <c r="J36" s="21" t="inlineStr">
        <is>
          <t>FY2028E</t>
        </is>
      </c>
      <c r="K36" s="21" t="inlineStr">
        <is>
          <t>FY2029E</t>
        </is>
      </c>
      <c r="L36" s="21" t="inlineStr">
        <is>
          <t>FY2030E</t>
        </is>
      </c>
      <c r="M36" s="21" t="inlineStr">
        <is>
          <t>FY2031E</t>
        </is>
      </c>
      <c r="N36" s="21" t="inlineStr">
        <is>
          <t>FY2032E</t>
        </is>
      </c>
      <c r="O36" s="21" t="inlineStr">
        <is>
          <t>FY2033E</t>
        </is>
      </c>
      <c r="P36" s="21" t="inlineStr">
        <is>
          <t>FY2034E</t>
        </is>
      </c>
      <c r="Q36" s="22" t="inlineStr">
        <is>
          <t>FY2035E</t>
        </is>
      </c>
    </row>
    <row r="37">
      <c r="A37" s="10" t="inlineStr">
        <is>
          <t>Revenue Growth (%)</t>
        </is>
      </c>
      <c r="B37" s="8" t="n"/>
      <c r="C37" s="8" t="n"/>
      <c r="D37" s="8" t="n"/>
      <c r="E37" s="8" t="n"/>
      <c r="F37" s="8" t="n"/>
      <c r="G37" s="8" t="n"/>
      <c r="H37" s="17" t="n">
        <v>0.09</v>
      </c>
      <c r="I37" s="17" t="n">
        <v>0.08</v>
      </c>
      <c r="J37" s="17" t="n">
        <v>0.07000000000000001</v>
      </c>
      <c r="K37" s="17" t="n">
        <v>0.07000000000000001</v>
      </c>
      <c r="L37" s="17" t="n">
        <v>0.06</v>
      </c>
      <c r="M37" s="17" t="n">
        <v>0.06</v>
      </c>
      <c r="N37" s="17" t="n">
        <v>0.05</v>
      </c>
      <c r="O37" s="17" t="n">
        <v>0.05</v>
      </c>
      <c r="P37" s="17" t="n">
        <v>0.045</v>
      </c>
      <c r="Q37" s="23" t="n">
        <v>0.04</v>
      </c>
    </row>
    <row r="38">
      <c r="A38" s="10" t="inlineStr">
        <is>
          <t>EBIT Margin (%)</t>
        </is>
      </c>
      <c r="B38" s="8" t="n"/>
      <c r="C38" s="8" t="n"/>
      <c r="D38" s="8" t="n"/>
      <c r="E38" s="8" t="n"/>
      <c r="F38" s="8" t="n"/>
      <c r="G38" s="8" t="n"/>
      <c r="H38" s="17" t="n">
        <v>0.34</v>
      </c>
      <c r="I38" s="17" t="n">
        <v>0.35</v>
      </c>
      <c r="J38" s="17" t="n">
        <v>0.36</v>
      </c>
      <c r="K38" s="17" t="n">
        <v>0.365</v>
      </c>
      <c r="L38" s="17" t="n">
        <v>0.37</v>
      </c>
      <c r="M38" s="17" t="n">
        <v>0.37</v>
      </c>
      <c r="N38" s="17" t="n">
        <v>0.375</v>
      </c>
      <c r="O38" s="17" t="n">
        <v>0.375</v>
      </c>
      <c r="P38" s="17" t="n">
        <v>0.38</v>
      </c>
      <c r="Q38" s="23" t="n">
        <v>0.38</v>
      </c>
    </row>
    <row r="39">
      <c r="A39" s="10" t="inlineStr">
        <is>
          <t>Terminal Growth Rate</t>
        </is>
      </c>
      <c r="B39" s="17" t="n">
        <v>0.035</v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9" t="n"/>
    </row>
    <row r="40">
      <c r="A40" s="18" t="inlineStr">
        <is>
          <t>WACC</t>
        </is>
      </c>
      <c r="B40" s="19" t="n">
        <v>0.09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6" t="n"/>
    </row>
    <row r="42">
      <c r="A42" s="6" t="inlineStr">
        <is>
          <t>SELECTED CASE ASSUMPTIONS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</row>
    <row r="43">
      <c r="A43" s="20" t="inlineStr">
        <is>
          <t>Assumption</t>
        </is>
      </c>
      <c r="B43" s="8" t="n"/>
      <c r="C43" s="8" t="n"/>
      <c r="D43" s="8" t="n"/>
      <c r="E43" s="8" t="n"/>
      <c r="F43" s="8" t="n"/>
      <c r="G43" s="8" t="n"/>
      <c r="H43" s="21" t="inlineStr">
        <is>
          <t>FY2026E</t>
        </is>
      </c>
      <c r="I43" s="21" t="inlineStr">
        <is>
          <t>FY2027E</t>
        </is>
      </c>
      <c r="J43" s="21" t="inlineStr">
        <is>
          <t>FY2028E</t>
        </is>
      </c>
      <c r="K43" s="21" t="inlineStr">
        <is>
          <t>FY2029E</t>
        </is>
      </c>
      <c r="L43" s="21" t="inlineStr">
        <is>
          <t>FY2030E</t>
        </is>
      </c>
      <c r="M43" s="21" t="inlineStr">
        <is>
          <t>FY2031E</t>
        </is>
      </c>
      <c r="N43" s="21" t="inlineStr">
        <is>
          <t>FY2032E</t>
        </is>
      </c>
      <c r="O43" s="21" t="inlineStr">
        <is>
          <t>FY2033E</t>
        </is>
      </c>
      <c r="P43" s="21" t="inlineStr">
        <is>
          <t>FY2034E</t>
        </is>
      </c>
      <c r="Q43" s="22" t="inlineStr">
        <is>
          <t>FY2035E</t>
        </is>
      </c>
    </row>
    <row r="44">
      <c r="A44" s="10" t="inlineStr">
        <is>
          <t>Revenue Growth (%)</t>
        </is>
      </c>
      <c r="B44" s="8" t="n"/>
      <c r="C44" s="8" t="n"/>
      <c r="D44" s="8" t="n"/>
      <c r="E44" s="8" t="n"/>
      <c r="F44" s="8" t="n"/>
      <c r="G44" s="8" t="n"/>
      <c r="H44" s="24">
        <f>CHOOSE($B$4,H23,H30,H37)</f>
        <v/>
      </c>
      <c r="I44" s="24">
        <f>CHOOSE($B$4,I23,I30,I37)</f>
        <v/>
      </c>
      <c r="J44" s="24">
        <f>CHOOSE($B$4,J23,J30,J37)</f>
        <v/>
      </c>
      <c r="K44" s="24">
        <f>CHOOSE($B$4,K23,K30,K37)</f>
        <v/>
      </c>
      <c r="L44" s="24">
        <f>CHOOSE($B$4,L23,L30,L37)</f>
        <v/>
      </c>
      <c r="M44" s="24">
        <f>CHOOSE($B$4,M23,M30,M37)</f>
        <v/>
      </c>
      <c r="N44" s="24">
        <f>CHOOSE($B$4,N23,N30,N37)</f>
        <v/>
      </c>
      <c r="O44" s="24">
        <f>CHOOSE($B$4,O23,O30,O37)</f>
        <v/>
      </c>
      <c r="P44" s="24">
        <f>CHOOSE($B$4,P23,P30,P37)</f>
        <v/>
      </c>
      <c r="Q44" s="25">
        <f>CHOOSE($B$4,Q23,Q30,Q37)</f>
        <v/>
      </c>
    </row>
    <row r="45">
      <c r="A45" s="10" t="inlineStr">
        <is>
          <t>EBIT Margin (%)</t>
        </is>
      </c>
      <c r="B45" s="8" t="n"/>
      <c r="C45" s="8" t="n"/>
      <c r="D45" s="8" t="n"/>
      <c r="E45" s="8" t="n"/>
      <c r="F45" s="8" t="n"/>
      <c r="G45" s="8" t="n"/>
      <c r="H45" s="24">
        <f>CHOOSE($B$4,H24,H31,H38)</f>
        <v/>
      </c>
      <c r="I45" s="24">
        <f>CHOOSE($B$4,I24,I31,I38)</f>
        <v/>
      </c>
      <c r="J45" s="24">
        <f>CHOOSE($B$4,J24,J31,J38)</f>
        <v/>
      </c>
      <c r="K45" s="24">
        <f>CHOOSE($B$4,K24,K31,K38)</f>
        <v/>
      </c>
      <c r="L45" s="24">
        <f>CHOOSE($B$4,L24,L31,L38)</f>
        <v/>
      </c>
      <c r="M45" s="24">
        <f>CHOOSE($B$4,M24,M31,M38)</f>
        <v/>
      </c>
      <c r="N45" s="24">
        <f>CHOOSE($B$4,N24,N31,N38)</f>
        <v/>
      </c>
      <c r="O45" s="24">
        <f>CHOOSE($B$4,O24,O31,O38)</f>
        <v/>
      </c>
      <c r="P45" s="24">
        <f>CHOOSE($B$4,P24,P31,P38)</f>
        <v/>
      </c>
      <c r="Q45" s="25">
        <f>CHOOSE($B$4,Q24,Q31,Q38)</f>
        <v/>
      </c>
    </row>
    <row r="46">
      <c r="A46" s="10" t="inlineStr">
        <is>
          <t>Terminal Growth Rate</t>
        </is>
      </c>
      <c r="B46" s="24">
        <f>CHOOSE($B$4,B25,B32,B39)</f>
        <v/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9" t="n"/>
    </row>
    <row r="47">
      <c r="A47" s="18" t="inlineStr">
        <is>
          <t>WACC</t>
        </is>
      </c>
      <c r="B47" s="26">
        <f>CHOOSE($B$4,B26,B33,B40)</f>
        <v/>
      </c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6" t="n"/>
    </row>
    <row r="49">
      <c r="A49" s="6" t="inlineStr">
        <is>
          <t>INCOME STATEMENT PROJECTION ($M)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</row>
    <row r="50">
      <c r="A50" s="7" t="n"/>
      <c r="B50" s="8" t="n"/>
      <c r="C50" s="21" t="inlineStr">
        <is>
          <t>FY2021A</t>
        </is>
      </c>
      <c r="D50" s="21" t="inlineStr">
        <is>
          <t>FY2022A</t>
        </is>
      </c>
      <c r="E50" s="21" t="inlineStr">
        <is>
          <t>FY2023A</t>
        </is>
      </c>
      <c r="F50" s="21" t="inlineStr">
        <is>
          <t>FY2024A</t>
        </is>
      </c>
      <c r="G50" s="21" t="inlineStr">
        <is>
          <t>FY2025A</t>
        </is>
      </c>
      <c r="H50" s="21" t="inlineStr">
        <is>
          <t>FY2026E</t>
        </is>
      </c>
      <c r="I50" s="21" t="inlineStr">
        <is>
          <t>FY2027E</t>
        </is>
      </c>
      <c r="J50" s="21" t="inlineStr">
        <is>
          <t>FY2028E</t>
        </is>
      </c>
      <c r="K50" s="21" t="inlineStr">
        <is>
          <t>FY2029E</t>
        </is>
      </c>
      <c r="L50" s="21" t="inlineStr">
        <is>
          <t>FY2030E</t>
        </is>
      </c>
      <c r="M50" s="21" t="inlineStr">
        <is>
          <t>FY2031E</t>
        </is>
      </c>
      <c r="N50" s="21" t="inlineStr">
        <is>
          <t>FY2032E</t>
        </is>
      </c>
      <c r="O50" s="21" t="inlineStr">
        <is>
          <t>FY2033E</t>
        </is>
      </c>
      <c r="P50" s="21" t="inlineStr">
        <is>
          <t>FY2034E</t>
        </is>
      </c>
      <c r="Q50" s="22" t="inlineStr">
        <is>
          <t>FY2035E</t>
        </is>
      </c>
    </row>
    <row r="51">
      <c r="A51" s="27" t="inlineStr">
        <is>
          <t>Revenue</t>
        </is>
      </c>
      <c r="B51" s="8" t="n"/>
      <c r="C51" s="12" t="n">
        <v>365817</v>
      </c>
      <c r="D51" s="12" t="n">
        <v>394328</v>
      </c>
      <c r="E51" s="12" t="n">
        <v>383285</v>
      </c>
      <c r="F51" s="12" t="n">
        <v>391035</v>
      </c>
      <c r="G51" s="12" t="n">
        <v>416161</v>
      </c>
      <c r="H51" s="13">
        <f>G51*(1+H44)</f>
        <v/>
      </c>
      <c r="I51" s="13">
        <f>H51*(1+I44)</f>
        <v/>
      </c>
      <c r="J51" s="13">
        <f>I51*(1+J44)</f>
        <v/>
      </c>
      <c r="K51" s="13">
        <f>J51*(1+K44)</f>
        <v/>
      </c>
      <c r="L51" s="13">
        <f>K51*(1+L44)</f>
        <v/>
      </c>
      <c r="M51" s="13">
        <f>L51*(1+M44)</f>
        <v/>
      </c>
      <c r="N51" s="13">
        <f>M51*(1+N44)</f>
        <v/>
      </c>
      <c r="O51" s="13">
        <f>N51*(1+O44)</f>
        <v/>
      </c>
      <c r="P51" s="13">
        <f>O51*(1+P44)</f>
        <v/>
      </c>
      <c r="Q51" s="28">
        <f>P51*(1+Q44)</f>
        <v/>
      </c>
    </row>
    <row r="52">
      <c r="A52" s="29" t="inlineStr">
        <is>
          <t>% Growth</t>
        </is>
      </c>
      <c r="B52" s="8" t="n"/>
      <c r="C52" s="8" t="n"/>
      <c r="D52" s="24">
        <f>D51/C51-1</f>
        <v/>
      </c>
      <c r="E52" s="24">
        <f>E51/D51-1</f>
        <v/>
      </c>
      <c r="F52" s="24">
        <f>F51/E51-1</f>
        <v/>
      </c>
      <c r="G52" s="24">
        <f>G51/F51-1</f>
        <v/>
      </c>
      <c r="H52" s="24">
        <f>H51/G51-1</f>
        <v/>
      </c>
      <c r="I52" s="24">
        <f>I51/H51-1</f>
        <v/>
      </c>
      <c r="J52" s="24">
        <f>J51/I51-1</f>
        <v/>
      </c>
      <c r="K52" s="24">
        <f>K51/J51-1</f>
        <v/>
      </c>
      <c r="L52" s="24">
        <f>L51/K51-1</f>
        <v/>
      </c>
      <c r="M52" s="24">
        <f>M51/L51-1</f>
        <v/>
      </c>
      <c r="N52" s="24">
        <f>N51/M51-1</f>
        <v/>
      </c>
      <c r="O52" s="24">
        <f>O51/N51-1</f>
        <v/>
      </c>
      <c r="P52" s="24">
        <f>P51/O51-1</f>
        <v/>
      </c>
      <c r="Q52" s="25">
        <f>Q51/P51-1</f>
        <v/>
      </c>
    </row>
    <row r="53">
      <c r="A53" s="7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9" t="n"/>
    </row>
    <row r="54">
      <c r="A54" s="27" t="inlineStr">
        <is>
          <t>EBIT (Operating Income)</t>
        </is>
      </c>
      <c r="B54" s="8" t="n"/>
      <c r="C54" s="12" t="n">
        <v>108949</v>
      </c>
      <c r="D54" s="12" t="n">
        <v>119437</v>
      </c>
      <c r="E54" s="12" t="n">
        <v>114301</v>
      </c>
      <c r="F54" s="12" t="n">
        <v>123216</v>
      </c>
      <c r="G54" s="12" t="n">
        <v>133050</v>
      </c>
      <c r="H54" s="13">
        <f>H51*H45</f>
        <v/>
      </c>
      <c r="I54" s="13">
        <f>I51*I45</f>
        <v/>
      </c>
      <c r="J54" s="13">
        <f>J51*J45</f>
        <v/>
      </c>
      <c r="K54" s="13">
        <f>K51*K45</f>
        <v/>
      </c>
      <c r="L54" s="13">
        <f>L51*L45</f>
        <v/>
      </c>
      <c r="M54" s="13">
        <f>M51*M45</f>
        <v/>
      </c>
      <c r="N54" s="13">
        <f>N51*N45</f>
        <v/>
      </c>
      <c r="O54" s="13">
        <f>O51*O45</f>
        <v/>
      </c>
      <c r="P54" s="13">
        <f>P51*P45</f>
        <v/>
      </c>
      <c r="Q54" s="28">
        <f>Q51*Q45</f>
        <v/>
      </c>
    </row>
    <row r="55">
      <c r="A55" s="29" t="inlineStr">
        <is>
          <t>% Margin</t>
        </is>
      </c>
      <c r="B55" s="8" t="n"/>
      <c r="C55" s="24">
        <f>C54/C51</f>
        <v/>
      </c>
      <c r="D55" s="24">
        <f>D54/D51</f>
        <v/>
      </c>
      <c r="E55" s="24">
        <f>E54/E51</f>
        <v/>
      </c>
      <c r="F55" s="24">
        <f>F54/F51</f>
        <v/>
      </c>
      <c r="G55" s="24">
        <f>G54/G51</f>
        <v/>
      </c>
      <c r="H55" s="24">
        <f>H54/H51</f>
        <v/>
      </c>
      <c r="I55" s="24">
        <f>I54/I51</f>
        <v/>
      </c>
      <c r="J55" s="24">
        <f>J54/J51</f>
        <v/>
      </c>
      <c r="K55" s="24">
        <f>K54/K51</f>
        <v/>
      </c>
      <c r="L55" s="24">
        <f>L54/L51</f>
        <v/>
      </c>
      <c r="M55" s="24">
        <f>M54/M51</f>
        <v/>
      </c>
      <c r="N55" s="24">
        <f>N54/N51</f>
        <v/>
      </c>
      <c r="O55" s="24">
        <f>O54/O51</f>
        <v/>
      </c>
      <c r="P55" s="24">
        <f>P54/P51</f>
        <v/>
      </c>
      <c r="Q55" s="25">
        <f>Q54/Q51</f>
        <v/>
      </c>
    </row>
    <row r="56">
      <c r="A56" s="7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9" t="n"/>
    </row>
    <row r="57">
      <c r="A57" s="10" t="inlineStr">
        <is>
          <t>Taxes</t>
        </is>
      </c>
      <c r="B57" s="8" t="n"/>
      <c r="C57" s="13">
        <f>C54*$B$15</f>
        <v/>
      </c>
      <c r="D57" s="13">
        <f>D54*$B$15</f>
        <v/>
      </c>
      <c r="E57" s="13">
        <f>E54*$B$15</f>
        <v/>
      </c>
      <c r="F57" s="13">
        <f>F54*$B$15</f>
        <v/>
      </c>
      <c r="G57" s="13">
        <f>G54*$B$15</f>
        <v/>
      </c>
      <c r="H57" s="13">
        <f>H54*$B$15</f>
        <v/>
      </c>
      <c r="I57" s="13">
        <f>I54*$B$15</f>
        <v/>
      </c>
      <c r="J57" s="13">
        <f>J54*$B$15</f>
        <v/>
      </c>
      <c r="K57" s="13">
        <f>K54*$B$15</f>
        <v/>
      </c>
      <c r="L57" s="13">
        <f>L54*$B$15</f>
        <v/>
      </c>
      <c r="M57" s="13">
        <f>M54*$B$15</f>
        <v/>
      </c>
      <c r="N57" s="13">
        <f>N54*$B$15</f>
        <v/>
      </c>
      <c r="O57" s="13">
        <f>O54*$B$15</f>
        <v/>
      </c>
      <c r="P57" s="13">
        <f>P54*$B$15</f>
        <v/>
      </c>
      <c r="Q57" s="28">
        <f>Q54*$B$15</f>
        <v/>
      </c>
    </row>
    <row r="58">
      <c r="A58" s="29" t="inlineStr">
        <is>
          <t>Effective Tax Rate</t>
        </is>
      </c>
      <c r="B58" s="8" t="n"/>
      <c r="C58" s="24">
        <f>$B$15</f>
        <v/>
      </c>
      <c r="D58" s="24">
        <f>$B$15</f>
        <v/>
      </c>
      <c r="E58" s="24">
        <f>$B$15</f>
        <v/>
      </c>
      <c r="F58" s="24">
        <f>$B$15</f>
        <v/>
      </c>
      <c r="G58" s="24">
        <f>$B$15</f>
        <v/>
      </c>
      <c r="H58" s="24">
        <f>$B$15</f>
        <v/>
      </c>
      <c r="I58" s="24">
        <f>$B$15</f>
        <v/>
      </c>
      <c r="J58" s="24">
        <f>$B$15</f>
        <v/>
      </c>
      <c r="K58" s="24">
        <f>$B$15</f>
        <v/>
      </c>
      <c r="L58" s="24">
        <f>$B$15</f>
        <v/>
      </c>
      <c r="M58" s="24">
        <f>$B$15</f>
        <v/>
      </c>
      <c r="N58" s="24">
        <f>$B$15</f>
        <v/>
      </c>
      <c r="O58" s="24">
        <f>$B$15</f>
        <v/>
      </c>
      <c r="P58" s="24">
        <f>$B$15</f>
        <v/>
      </c>
      <c r="Q58" s="25">
        <f>$B$15</f>
        <v/>
      </c>
    </row>
    <row r="59">
      <c r="A59" s="7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9" t="n"/>
    </row>
    <row r="60">
      <c r="A60" s="30" t="inlineStr">
        <is>
          <t>NOPAT</t>
        </is>
      </c>
      <c r="B60" s="15" t="n"/>
      <c r="C60" s="31">
        <f>C54-C57</f>
        <v/>
      </c>
      <c r="D60" s="31">
        <f>D54-D57</f>
        <v/>
      </c>
      <c r="E60" s="31">
        <f>E54-E57</f>
        <v/>
      </c>
      <c r="F60" s="31">
        <f>F54-F57</f>
        <v/>
      </c>
      <c r="G60" s="31">
        <f>G54-G57</f>
        <v/>
      </c>
      <c r="H60" s="31">
        <f>H54-H57</f>
        <v/>
      </c>
      <c r="I60" s="31">
        <f>I54-I57</f>
        <v/>
      </c>
      <c r="J60" s="31">
        <f>J54-J57</f>
        <v/>
      </c>
      <c r="K60" s="31">
        <f>K54-K57</f>
        <v/>
      </c>
      <c r="L60" s="31">
        <f>L54-L57</f>
        <v/>
      </c>
      <c r="M60" s="31">
        <f>M54-M57</f>
        <v/>
      </c>
      <c r="N60" s="31">
        <f>N54-N57</f>
        <v/>
      </c>
      <c r="O60" s="31">
        <f>O54-O57</f>
        <v/>
      </c>
      <c r="P60" s="31">
        <f>P54-P57</f>
        <v/>
      </c>
      <c r="Q60" s="32">
        <f>Q54-Q57</f>
        <v/>
      </c>
    </row>
    <row r="62">
      <c r="A62" s="6" t="inlineStr">
        <is>
          <t>FREE CASH FLOW ($M)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</row>
    <row r="63">
      <c r="A63" s="7" t="n"/>
      <c r="B63" s="8" t="n"/>
      <c r="C63" s="21" t="inlineStr">
        <is>
          <t>FY2021A</t>
        </is>
      </c>
      <c r="D63" s="21" t="inlineStr">
        <is>
          <t>FY2022A</t>
        </is>
      </c>
      <c r="E63" s="21" t="inlineStr">
        <is>
          <t>FY2023A</t>
        </is>
      </c>
      <c r="F63" s="21" t="inlineStr">
        <is>
          <t>FY2024A</t>
        </is>
      </c>
      <c r="G63" s="21" t="inlineStr">
        <is>
          <t>FY2025A</t>
        </is>
      </c>
      <c r="H63" s="21" t="inlineStr">
        <is>
          <t>FY2026E</t>
        </is>
      </c>
      <c r="I63" s="21" t="inlineStr">
        <is>
          <t>FY2027E</t>
        </is>
      </c>
      <c r="J63" s="21" t="inlineStr">
        <is>
          <t>FY2028E</t>
        </is>
      </c>
      <c r="K63" s="21" t="inlineStr">
        <is>
          <t>FY2029E</t>
        </is>
      </c>
      <c r="L63" s="21" t="inlineStr">
        <is>
          <t>FY2030E</t>
        </is>
      </c>
      <c r="M63" s="21" t="inlineStr">
        <is>
          <t>FY2031E</t>
        </is>
      </c>
      <c r="N63" s="21" t="inlineStr">
        <is>
          <t>FY2032E</t>
        </is>
      </c>
      <c r="O63" s="21" t="inlineStr">
        <is>
          <t>FY2033E</t>
        </is>
      </c>
      <c r="P63" s="21" t="inlineStr">
        <is>
          <t>FY2034E</t>
        </is>
      </c>
      <c r="Q63" s="22" t="inlineStr">
        <is>
          <t>FY2035E</t>
        </is>
      </c>
    </row>
    <row r="64">
      <c r="A64" s="10" t="inlineStr">
        <is>
          <t>NOPAT</t>
        </is>
      </c>
      <c r="B64" s="8" t="n"/>
      <c r="C64" s="13">
        <f>C60</f>
        <v/>
      </c>
      <c r="D64" s="13">
        <f>D60</f>
        <v/>
      </c>
      <c r="E64" s="13">
        <f>E60</f>
        <v/>
      </c>
      <c r="F64" s="13">
        <f>F60</f>
        <v/>
      </c>
      <c r="G64" s="13">
        <f>G60</f>
        <v/>
      </c>
      <c r="H64" s="13">
        <f>H60</f>
        <v/>
      </c>
      <c r="I64" s="13">
        <f>I60</f>
        <v/>
      </c>
      <c r="J64" s="13">
        <f>J60</f>
        <v/>
      </c>
      <c r="K64" s="13">
        <f>K60</f>
        <v/>
      </c>
      <c r="L64" s="13">
        <f>L60</f>
        <v/>
      </c>
      <c r="M64" s="13">
        <f>M60</f>
        <v/>
      </c>
      <c r="N64" s="13">
        <f>N60</f>
        <v/>
      </c>
      <c r="O64" s="13">
        <f>O60</f>
        <v/>
      </c>
      <c r="P64" s="13">
        <f>P60</f>
        <v/>
      </c>
      <c r="Q64" s="28">
        <f>Q60</f>
        <v/>
      </c>
    </row>
    <row r="65">
      <c r="A65" s="10" t="inlineStr">
        <is>
          <t>(+) D&amp;A</t>
        </is>
      </c>
      <c r="B65" s="8" t="n"/>
      <c r="C65" s="12" t="n">
        <v>11284</v>
      </c>
      <c r="D65" s="12" t="n">
        <v>11104</v>
      </c>
      <c r="E65" s="12" t="n">
        <v>11519</v>
      </c>
      <c r="F65" s="12" t="n">
        <v>11445</v>
      </c>
      <c r="G65" s="12" t="n">
        <v>11698</v>
      </c>
      <c r="H65" s="13">
        <f>H51*$B$16</f>
        <v/>
      </c>
      <c r="I65" s="13">
        <f>I51*$B$16</f>
        <v/>
      </c>
      <c r="J65" s="13">
        <f>J51*$B$16</f>
        <v/>
      </c>
      <c r="K65" s="13">
        <f>K51*$B$16</f>
        <v/>
      </c>
      <c r="L65" s="13">
        <f>L51*$B$16</f>
        <v/>
      </c>
      <c r="M65" s="13">
        <f>M51*$B$16</f>
        <v/>
      </c>
      <c r="N65" s="13">
        <f>N51*$B$16</f>
        <v/>
      </c>
      <c r="O65" s="13">
        <f>O51*$B$16</f>
        <v/>
      </c>
      <c r="P65" s="13">
        <f>P51*$B$16</f>
        <v/>
      </c>
      <c r="Q65" s="28">
        <f>Q51*$B$16</f>
        <v/>
      </c>
    </row>
    <row r="66">
      <c r="A66" s="29" t="inlineStr">
        <is>
          <t>D&amp;A % of Revenue</t>
        </is>
      </c>
      <c r="B66" s="8" t="n"/>
      <c r="C66" s="24">
        <f>C65/C51</f>
        <v/>
      </c>
      <c r="D66" s="24">
        <f>D65/D51</f>
        <v/>
      </c>
      <c r="E66" s="24">
        <f>E65/E51</f>
        <v/>
      </c>
      <c r="F66" s="24">
        <f>F65/F51</f>
        <v/>
      </c>
      <c r="G66" s="24">
        <f>G65/G51</f>
        <v/>
      </c>
      <c r="H66" s="24">
        <f>H65/H51</f>
        <v/>
      </c>
      <c r="I66" s="24">
        <f>I65/I51</f>
        <v/>
      </c>
      <c r="J66" s="24">
        <f>J65/J51</f>
        <v/>
      </c>
      <c r="K66" s="24">
        <f>K65/K51</f>
        <v/>
      </c>
      <c r="L66" s="24">
        <f>L65/L51</f>
        <v/>
      </c>
      <c r="M66" s="24">
        <f>M65/M51</f>
        <v/>
      </c>
      <c r="N66" s="24">
        <f>N65/N51</f>
        <v/>
      </c>
      <c r="O66" s="24">
        <f>O65/O51</f>
        <v/>
      </c>
      <c r="P66" s="24">
        <f>P65/P51</f>
        <v/>
      </c>
      <c r="Q66" s="25">
        <f>Q65/Q51</f>
        <v/>
      </c>
    </row>
    <row r="67">
      <c r="A67" s="10" t="inlineStr">
        <is>
          <t>(-) CapEx</t>
        </is>
      </c>
      <c r="B67" s="8" t="n"/>
      <c r="C67" s="12" t="n">
        <v>11085</v>
      </c>
      <c r="D67" s="12" t="n">
        <v>10708</v>
      </c>
      <c r="E67" s="12" t="n">
        <v>10959</v>
      </c>
      <c r="F67" s="12" t="n">
        <v>9447</v>
      </c>
      <c r="G67" s="12" t="n">
        <v>12715</v>
      </c>
      <c r="H67" s="13">
        <f>H51*$B$17</f>
        <v/>
      </c>
      <c r="I67" s="13">
        <f>I51*$B$17</f>
        <v/>
      </c>
      <c r="J67" s="13">
        <f>J51*$B$17</f>
        <v/>
      </c>
      <c r="K67" s="13">
        <f>K51*$B$17</f>
        <v/>
      </c>
      <c r="L67" s="13">
        <f>L51*$B$17</f>
        <v/>
      </c>
      <c r="M67" s="13">
        <f>M51*$B$17</f>
        <v/>
      </c>
      <c r="N67" s="13">
        <f>N51*$B$17</f>
        <v/>
      </c>
      <c r="O67" s="13">
        <f>O51*$B$17</f>
        <v/>
      </c>
      <c r="P67" s="13">
        <f>P51*$B$17</f>
        <v/>
      </c>
      <c r="Q67" s="28">
        <f>Q51*$B$17</f>
        <v/>
      </c>
    </row>
    <row r="68">
      <c r="A68" s="29" t="inlineStr">
        <is>
          <t>CapEx % of Revenue</t>
        </is>
      </c>
      <c r="B68" s="8" t="n"/>
      <c r="C68" s="24">
        <f>C67/C51</f>
        <v/>
      </c>
      <c r="D68" s="24">
        <f>D67/D51</f>
        <v/>
      </c>
      <c r="E68" s="24">
        <f>E67/E51</f>
        <v/>
      </c>
      <c r="F68" s="24">
        <f>F67/F51</f>
        <v/>
      </c>
      <c r="G68" s="24">
        <f>G67/G51</f>
        <v/>
      </c>
      <c r="H68" s="24">
        <f>H67/H51</f>
        <v/>
      </c>
      <c r="I68" s="24">
        <f>I67/I51</f>
        <v/>
      </c>
      <c r="J68" s="24">
        <f>J67/J51</f>
        <v/>
      </c>
      <c r="K68" s="24">
        <f>K67/K51</f>
        <v/>
      </c>
      <c r="L68" s="24">
        <f>L67/L51</f>
        <v/>
      </c>
      <c r="M68" s="24">
        <f>M67/M51</f>
        <v/>
      </c>
      <c r="N68" s="24">
        <f>N67/N51</f>
        <v/>
      </c>
      <c r="O68" s="24">
        <f>O67/O51</f>
        <v/>
      </c>
      <c r="P68" s="24">
        <f>P67/P51</f>
        <v/>
      </c>
      <c r="Q68" s="25">
        <f>Q67/Q51</f>
        <v/>
      </c>
    </row>
    <row r="69">
      <c r="A69" s="10" t="inlineStr">
        <is>
          <t>(-) Δ NWC</t>
        </is>
      </c>
      <c r="B69" s="8" t="n"/>
      <c r="C69" s="12" t="n">
        <v>-4911</v>
      </c>
      <c r="D69" s="12" t="n">
        <v>1200</v>
      </c>
      <c r="E69" s="12" t="n">
        <v>-6177</v>
      </c>
      <c r="F69" s="12" t="n">
        <v>3631</v>
      </c>
      <c r="G69" s="12" t="n">
        <v>-5847</v>
      </c>
      <c r="H69" s="13">
        <f>(H51-G51)*$B$18</f>
        <v/>
      </c>
      <c r="I69" s="13">
        <f>(I51-H51)*$B$18</f>
        <v/>
      </c>
      <c r="J69" s="13">
        <f>(J51-I51)*$B$18</f>
        <v/>
      </c>
      <c r="K69" s="13">
        <f>(K51-J51)*$B$18</f>
        <v/>
      </c>
      <c r="L69" s="13">
        <f>(L51-K51)*$B$18</f>
        <v/>
      </c>
      <c r="M69" s="13">
        <f>(M51-L51)*$B$18</f>
        <v/>
      </c>
      <c r="N69" s="13">
        <f>(N51-M51)*$B$18</f>
        <v/>
      </c>
      <c r="O69" s="13">
        <f>(O51-N51)*$B$18</f>
        <v/>
      </c>
      <c r="P69" s="13">
        <f>(P51-O51)*$B$18</f>
        <v/>
      </c>
      <c r="Q69" s="28">
        <f>(Q51-P51)*$B$18</f>
        <v/>
      </c>
    </row>
    <row r="70">
      <c r="A70" s="29" t="inlineStr">
        <is>
          <t>NWC % of ΔRevenue</t>
        </is>
      </c>
      <c r="B70" s="8" t="n"/>
      <c r="C70" s="8" t="n"/>
      <c r="D70" s="24">
        <f>IF(D51=C51,0,D69/(D51-C51))</f>
        <v/>
      </c>
      <c r="E70" s="24">
        <f>IF(E51=D51,0,E69/(E51-D51))</f>
        <v/>
      </c>
      <c r="F70" s="24">
        <f>IF(F51=E51,0,F69/(F51-E51))</f>
        <v/>
      </c>
      <c r="G70" s="24">
        <f>IF(G51=F51,0,G69/(G51-F51))</f>
        <v/>
      </c>
      <c r="H70" s="24">
        <f>$B$18</f>
        <v/>
      </c>
      <c r="I70" s="24">
        <f>$B$18</f>
        <v/>
      </c>
      <c r="J70" s="24">
        <f>$B$18</f>
        <v/>
      </c>
      <c r="K70" s="24">
        <f>$B$18</f>
        <v/>
      </c>
      <c r="L70" s="24">
        <f>$B$18</f>
        <v/>
      </c>
      <c r="M70" s="24">
        <f>$B$18</f>
        <v/>
      </c>
      <c r="N70" s="24">
        <f>$B$18</f>
        <v/>
      </c>
      <c r="O70" s="24">
        <f>$B$18</f>
        <v/>
      </c>
      <c r="P70" s="24">
        <f>$B$18</f>
        <v/>
      </c>
      <c r="Q70" s="25">
        <f>$B$18</f>
        <v/>
      </c>
    </row>
    <row r="71">
      <c r="A71" s="7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9" t="n"/>
    </row>
    <row r="72">
      <c r="A72" s="27" t="inlineStr">
        <is>
          <t>Unlevered Free Cash Flow</t>
        </is>
      </c>
      <c r="B72" s="8" t="n"/>
      <c r="C72" s="33">
        <f>C64+C65-C67-C69</f>
        <v/>
      </c>
      <c r="D72" s="33">
        <f>D64+D65-D67-D69</f>
        <v/>
      </c>
      <c r="E72" s="33">
        <f>E64+E65-E67-E69</f>
        <v/>
      </c>
      <c r="F72" s="33">
        <f>F64+F65-F67-F69</f>
        <v/>
      </c>
      <c r="G72" s="33">
        <f>G64+G65-G67-G69</f>
        <v/>
      </c>
      <c r="H72" s="33">
        <f>H64+H65-H67-H69</f>
        <v/>
      </c>
      <c r="I72" s="33">
        <f>I64+I65-I67-I69</f>
        <v/>
      </c>
      <c r="J72" s="33">
        <f>J64+J65-J67-J69</f>
        <v/>
      </c>
      <c r="K72" s="33">
        <f>K64+K65-K67-K69</f>
        <v/>
      </c>
      <c r="L72" s="33">
        <f>L64+L65-L67-L69</f>
        <v/>
      </c>
      <c r="M72" s="33">
        <f>M64+M65-M67-M69</f>
        <v/>
      </c>
      <c r="N72" s="33">
        <f>N64+N65-N67-N69</f>
        <v/>
      </c>
      <c r="O72" s="33">
        <f>O64+O65-O67-O69</f>
        <v/>
      </c>
      <c r="P72" s="33">
        <f>P64+P65-P67-P69</f>
        <v/>
      </c>
      <c r="Q72" s="34">
        <f>Q64+Q65-Q67-Q69</f>
        <v/>
      </c>
    </row>
    <row r="73">
      <c r="A73" s="35" t="inlineStr">
        <is>
          <t>FCF Margin</t>
        </is>
      </c>
      <c r="B73" s="15" t="n"/>
      <c r="C73" s="26">
        <f>C72/C51</f>
        <v/>
      </c>
      <c r="D73" s="26">
        <f>D72/D51</f>
        <v/>
      </c>
      <c r="E73" s="26">
        <f>E72/E51</f>
        <v/>
      </c>
      <c r="F73" s="26">
        <f>F72/F51</f>
        <v/>
      </c>
      <c r="G73" s="26">
        <f>G72/G51</f>
        <v/>
      </c>
      <c r="H73" s="26">
        <f>H72/H51</f>
        <v/>
      </c>
      <c r="I73" s="26">
        <f>I72/I51</f>
        <v/>
      </c>
      <c r="J73" s="26">
        <f>J72/J51</f>
        <v/>
      </c>
      <c r="K73" s="26">
        <f>K72/K51</f>
        <v/>
      </c>
      <c r="L73" s="26">
        <f>L72/L51</f>
        <v/>
      </c>
      <c r="M73" s="26">
        <f>M72/M51</f>
        <v/>
      </c>
      <c r="N73" s="26">
        <f>N72/N51</f>
        <v/>
      </c>
      <c r="O73" s="26">
        <f>O72/O51</f>
        <v/>
      </c>
      <c r="P73" s="26">
        <f>P72/P51</f>
        <v/>
      </c>
      <c r="Q73" s="36">
        <f>Q72/Q51</f>
        <v/>
      </c>
    </row>
    <row r="75">
      <c r="A75" s="6" t="inlineStr">
        <is>
          <t>DCF VALUATION ($M)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</row>
    <row r="76">
      <c r="A76" s="7" t="n"/>
      <c r="B76" s="8" t="n"/>
      <c r="C76" s="8" t="n"/>
      <c r="D76" s="8" t="n"/>
      <c r="E76" s="8" t="n"/>
      <c r="F76" s="8" t="n"/>
      <c r="G76" s="8" t="n"/>
      <c r="H76" s="21" t="inlineStr">
        <is>
          <t>FY2026E</t>
        </is>
      </c>
      <c r="I76" s="21" t="inlineStr">
        <is>
          <t>FY2027E</t>
        </is>
      </c>
      <c r="J76" s="21" t="inlineStr">
        <is>
          <t>FY2028E</t>
        </is>
      </c>
      <c r="K76" s="21" t="inlineStr">
        <is>
          <t>FY2029E</t>
        </is>
      </c>
      <c r="L76" s="21" t="inlineStr">
        <is>
          <t>FY2030E</t>
        </is>
      </c>
      <c r="M76" s="21" t="inlineStr">
        <is>
          <t>FY2031E</t>
        </is>
      </c>
      <c r="N76" s="21" t="inlineStr">
        <is>
          <t>FY2032E</t>
        </is>
      </c>
      <c r="O76" s="21" t="inlineStr">
        <is>
          <t>FY2033E</t>
        </is>
      </c>
      <c r="P76" s="21" t="inlineStr">
        <is>
          <t>FY2034E</t>
        </is>
      </c>
      <c r="Q76" s="22" t="inlineStr">
        <is>
          <t>FY2035E</t>
        </is>
      </c>
    </row>
    <row r="77">
      <c r="A77" s="10" t="inlineStr">
        <is>
          <t>Unlevered FCF</t>
        </is>
      </c>
      <c r="B77" s="8" t="n"/>
      <c r="C77" s="8" t="n"/>
      <c r="D77" s="8" t="n"/>
      <c r="E77" s="8" t="n"/>
      <c r="F77" s="8" t="n"/>
      <c r="G77" s="8" t="n"/>
      <c r="H77" s="13">
        <f>H72</f>
        <v/>
      </c>
      <c r="I77" s="13">
        <f>I72</f>
        <v/>
      </c>
      <c r="J77" s="13">
        <f>J72</f>
        <v/>
      </c>
      <c r="K77" s="13">
        <f>K72</f>
        <v/>
      </c>
      <c r="L77" s="13">
        <f>L72</f>
        <v/>
      </c>
      <c r="M77" s="13">
        <f>M72</f>
        <v/>
      </c>
      <c r="N77" s="13">
        <f>N72</f>
        <v/>
      </c>
      <c r="O77" s="13">
        <f>O72</f>
        <v/>
      </c>
      <c r="P77" s="13">
        <f>P72</f>
        <v/>
      </c>
      <c r="Q77" s="28">
        <f>Q72</f>
        <v/>
      </c>
    </row>
    <row r="78">
      <c r="A78" s="10" t="inlineStr">
        <is>
          <t>Period (mid-year)</t>
        </is>
      </c>
      <c r="B78" s="8" t="n"/>
      <c r="C78" s="8" t="n"/>
      <c r="D78" s="8" t="n"/>
      <c r="E78" s="8" t="n"/>
      <c r="F78" s="8" t="n"/>
      <c r="G78" s="8" t="n"/>
      <c r="H78" s="37" t="n">
        <v>0.5</v>
      </c>
      <c r="I78" s="37" t="n">
        <v>1.5</v>
      </c>
      <c r="J78" s="37" t="n">
        <v>2.5</v>
      </c>
      <c r="K78" s="37" t="n">
        <v>3.5</v>
      </c>
      <c r="L78" s="37" t="n">
        <v>4.5</v>
      </c>
      <c r="M78" s="37" t="n">
        <v>5.5</v>
      </c>
      <c r="N78" s="37" t="n">
        <v>6.5</v>
      </c>
      <c r="O78" s="37" t="n">
        <v>7.5</v>
      </c>
      <c r="P78" s="37" t="n">
        <v>8.5</v>
      </c>
      <c r="Q78" s="38" t="n">
        <v>9.5</v>
      </c>
    </row>
    <row r="79">
      <c r="A79" s="10" t="inlineStr">
        <is>
          <t>Discount Factor</t>
        </is>
      </c>
      <c r="B79" s="8" t="n"/>
      <c r="C79" s="8" t="n"/>
      <c r="D79" s="8" t="n"/>
      <c r="E79" s="8" t="n"/>
      <c r="F79" s="8" t="n"/>
      <c r="G79" s="8" t="n"/>
      <c r="H79" s="39">
        <f>1/(1+$B$47)^H78</f>
        <v/>
      </c>
      <c r="I79" s="39">
        <f>1/(1+$B$47)^I78</f>
        <v/>
      </c>
      <c r="J79" s="39">
        <f>1/(1+$B$47)^J78</f>
        <v/>
      </c>
      <c r="K79" s="39">
        <f>1/(1+$B$47)^K78</f>
        <v/>
      </c>
      <c r="L79" s="39">
        <f>1/(1+$B$47)^L78</f>
        <v/>
      </c>
      <c r="M79" s="39">
        <f>1/(1+$B$47)^M78</f>
        <v/>
      </c>
      <c r="N79" s="39">
        <f>1/(1+$B$47)^N78</f>
        <v/>
      </c>
      <c r="O79" s="39">
        <f>1/(1+$B$47)^O78</f>
        <v/>
      </c>
      <c r="P79" s="39">
        <f>1/(1+$B$47)^P78</f>
        <v/>
      </c>
      <c r="Q79" s="40">
        <f>1/(1+$B$47)^Q78</f>
        <v/>
      </c>
    </row>
    <row r="80">
      <c r="A80" s="27" t="inlineStr">
        <is>
          <t>PV of FCF</t>
        </is>
      </c>
      <c r="B80" s="8" t="n"/>
      <c r="C80" s="8" t="n"/>
      <c r="D80" s="8" t="n"/>
      <c r="E80" s="8" t="n"/>
      <c r="F80" s="8" t="n"/>
      <c r="G80" s="8" t="n"/>
      <c r="H80" s="31">
        <f>H77*H79</f>
        <v/>
      </c>
      <c r="I80" s="31">
        <f>I77*I79</f>
        <v/>
      </c>
      <c r="J80" s="31">
        <f>J77*J79</f>
        <v/>
      </c>
      <c r="K80" s="31">
        <f>K77*K79</f>
        <v/>
      </c>
      <c r="L80" s="31">
        <f>L77*L79</f>
        <v/>
      </c>
      <c r="M80" s="31">
        <f>M77*M79</f>
        <v/>
      </c>
      <c r="N80" s="31">
        <f>N77*N79</f>
        <v/>
      </c>
      <c r="O80" s="31">
        <f>O77*O79</f>
        <v/>
      </c>
      <c r="P80" s="31">
        <f>P77*P79</f>
        <v/>
      </c>
      <c r="Q80" s="32">
        <f>Q77*Q79</f>
        <v/>
      </c>
    </row>
    <row r="81">
      <c r="A81" s="7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9" t="n"/>
    </row>
    <row r="82">
      <c r="A82" s="10" t="inlineStr">
        <is>
          <t>Terminal FCF</t>
        </is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28">
        <f>Q72*(1+$B$46)</f>
        <v/>
      </c>
    </row>
    <row r="83">
      <c r="A83" s="10" t="inlineStr">
        <is>
          <t>Terminal Value</t>
        </is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28">
        <f>Q82/($B$47-$B$46)</f>
        <v/>
      </c>
    </row>
    <row r="84">
      <c r="A84" s="30" t="inlineStr">
        <is>
          <t>PV of Terminal Value</t>
        </is>
      </c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41">
        <f>Q83/(1+$B$47)^Q78</f>
        <v/>
      </c>
    </row>
    <row r="86">
      <c r="A86" s="6" t="inlineStr">
        <is>
          <t>VALUATION SUMMARY</t>
        </is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</row>
    <row r="87">
      <c r="A87" s="7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9" t="n"/>
    </row>
    <row r="88">
      <c r="A88" s="27" t="inlineStr">
        <is>
          <t>Sum of PV of Projected FCFs</t>
        </is>
      </c>
      <c r="B88" s="42">
        <f>SUM(H80:Q80)</f>
        <v/>
      </c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9" t="n"/>
    </row>
    <row r="89">
      <c r="A89" s="10" t="inlineStr">
        <is>
          <t>PV of Terminal Value</t>
        </is>
      </c>
      <c r="B89" s="13">
        <f>Q84</f>
        <v/>
      </c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9" t="n"/>
    </row>
    <row r="90">
      <c r="A90" s="27" t="inlineStr">
        <is>
          <t>Enterprise Value</t>
        </is>
      </c>
      <c r="B90" s="43">
        <f>B88+B89</f>
        <v/>
      </c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9" t="n"/>
    </row>
    <row r="91">
      <c r="A91" s="10" t="inlineStr">
        <is>
          <t>(+) Net Cash</t>
        </is>
      </c>
      <c r="B91" s="13">
        <f>B12</f>
        <v/>
      </c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9" t="n"/>
    </row>
    <row r="92">
      <c r="A92" s="27" t="inlineStr">
        <is>
          <t>Equity Value</t>
        </is>
      </c>
      <c r="B92" s="43">
        <f>B90+B91</f>
        <v/>
      </c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9" t="n"/>
    </row>
    <row r="93">
      <c r="A93" s="7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9" t="n"/>
    </row>
    <row r="94">
      <c r="A94" s="10" t="inlineStr">
        <is>
          <t>Shares Outstanding (M)</t>
        </is>
      </c>
      <c r="B94" s="13">
        <f>B10</f>
        <v/>
      </c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9" t="n"/>
    </row>
    <row r="95">
      <c r="A95" s="27" t="inlineStr">
        <is>
          <t>IMPLIED PRICE PER SHARE</t>
        </is>
      </c>
      <c r="B95" s="44">
        <f>B92/B94</f>
        <v/>
      </c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9" t="n"/>
    </row>
    <row r="96">
      <c r="A96" s="10" t="inlineStr">
        <is>
          <t>Current Stock Price</t>
        </is>
      </c>
      <c r="B96" s="45">
        <f>B9</f>
        <v/>
      </c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9" t="n"/>
    </row>
    <row r="97">
      <c r="A97" s="27" t="inlineStr">
        <is>
          <t>Implied Upside / (Downside)</t>
        </is>
      </c>
      <c r="B97" s="46">
        <f>B95/B96-1</f>
        <v/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9" t="n"/>
    </row>
    <row r="98">
      <c r="A98" s="7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9" t="n"/>
    </row>
    <row r="99">
      <c r="A99" s="18" t="inlineStr">
        <is>
          <t>Terminal Value % of EV</t>
        </is>
      </c>
      <c r="B99" s="26">
        <f>B89/B90</f>
        <v/>
      </c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6" t="n"/>
    </row>
    <row r="102">
      <c r="A102" s="6" t="inlineStr">
        <is>
          <t>SENSITIVITY ANALYSIS</t>
        </is>
      </c>
      <c r="B102" s="6" t="n"/>
      <c r="C102" s="6" t="n"/>
      <c r="D102" s="6" t="n"/>
      <c r="E102" s="6" t="n"/>
      <c r="F102" s="6" t="n"/>
    </row>
    <row r="104">
      <c r="A104" s="47" t="inlineStr">
        <is>
          <t>Table 1: WACC vs Terminal Growth Rate</t>
        </is>
      </c>
      <c r="B104" s="48" t="n"/>
      <c r="C104" s="48" t="n"/>
      <c r="D104" s="48" t="n"/>
      <c r="E104" s="48" t="n"/>
      <c r="F104" s="49" t="n"/>
    </row>
    <row r="105">
      <c r="A105" s="20" t="inlineStr">
        <is>
          <t>WACC \ Term. Growth</t>
        </is>
      </c>
      <c r="B105" s="50" t="n">
        <v>0.02</v>
      </c>
      <c r="C105" s="50" t="n">
        <v>0.025</v>
      </c>
      <c r="D105" s="50" t="n">
        <v>0.03</v>
      </c>
      <c r="E105" s="50" t="n">
        <v>0.035</v>
      </c>
      <c r="F105" s="51" t="n">
        <v>0.04</v>
      </c>
    </row>
    <row r="106">
      <c r="A106" s="52" t="n">
        <v>0.08</v>
      </c>
      <c r="B106" s="53">
        <f>(H$72/(1+$A106)^0.5+I$72/(1+$A106)^1.5+J$72/(1+$A106)^2.5+K$72/(1+$A106)^3.5+L$72/(1+$A106)^4.5+M$72/(1+$A106)^5.5+N$72/(1+$A106)^6.5+O$72/(1+$A106)^7.5+P$72/(1+$A106)^8.5+Q$72/(1+$A106)^9.5+Q$72*(1+B$105)/($A106-B$105)/(1+$A106)^9.5+$B$12)/$B$10</f>
        <v/>
      </c>
      <c r="C106" s="53">
        <f>(H$72/(1+$A106)^0.5+I$72/(1+$A106)^1.5+J$72/(1+$A106)^2.5+K$72/(1+$A106)^3.5+L$72/(1+$A106)^4.5+M$72/(1+$A106)^5.5+N$72/(1+$A106)^6.5+O$72/(1+$A106)^7.5+P$72/(1+$A106)^8.5+Q$72/(1+$A106)^9.5+Q$72*(1+C$105)/($A106-C$105)/(1+$A106)^9.5+$B$12)/$B$10</f>
        <v/>
      </c>
      <c r="D106" s="53">
        <f>(H$72/(1+$A106)^0.5+I$72/(1+$A106)^1.5+J$72/(1+$A106)^2.5+K$72/(1+$A106)^3.5+L$72/(1+$A106)^4.5+M$72/(1+$A106)^5.5+N$72/(1+$A106)^6.5+O$72/(1+$A106)^7.5+P$72/(1+$A106)^8.5+Q$72/(1+$A106)^9.5+Q$72*(1+D$105)/($A106-D$105)/(1+$A106)^9.5+$B$12)/$B$10</f>
        <v/>
      </c>
      <c r="E106" s="53">
        <f>(H$72/(1+$A106)^0.5+I$72/(1+$A106)^1.5+J$72/(1+$A106)^2.5+K$72/(1+$A106)^3.5+L$72/(1+$A106)^4.5+M$72/(1+$A106)^5.5+N$72/(1+$A106)^6.5+O$72/(1+$A106)^7.5+P$72/(1+$A106)^8.5+Q$72/(1+$A106)^9.5+Q$72*(1+E$105)/($A106-E$105)/(1+$A106)^9.5+$B$12)/$B$10</f>
        <v/>
      </c>
      <c r="F106" s="54">
        <f>(H$72/(1+$A106)^0.5+I$72/(1+$A106)^1.5+J$72/(1+$A106)^2.5+K$72/(1+$A106)^3.5+L$72/(1+$A106)^4.5+M$72/(1+$A106)^5.5+N$72/(1+$A106)^6.5+O$72/(1+$A106)^7.5+P$72/(1+$A106)^8.5+Q$72/(1+$A106)^9.5+Q$72*(1+F$105)/($A106-F$105)/(1+$A106)^9.5+$B$12)/$B$10</f>
        <v/>
      </c>
    </row>
    <row r="107">
      <c r="A107" s="52" t="n">
        <v>0.09</v>
      </c>
      <c r="B107" s="53">
        <f>(H$72/(1+$A107)^0.5+I$72/(1+$A107)^1.5+J$72/(1+$A107)^2.5+K$72/(1+$A107)^3.5+L$72/(1+$A107)^4.5+M$72/(1+$A107)^5.5+N$72/(1+$A107)^6.5+O$72/(1+$A107)^7.5+P$72/(1+$A107)^8.5+Q$72/(1+$A107)^9.5+Q$72*(1+B$105)/($A107-B$105)/(1+$A107)^9.5+$B$12)/$B$10</f>
        <v/>
      </c>
      <c r="C107" s="53">
        <f>(H$72/(1+$A107)^0.5+I$72/(1+$A107)^1.5+J$72/(1+$A107)^2.5+K$72/(1+$A107)^3.5+L$72/(1+$A107)^4.5+M$72/(1+$A107)^5.5+N$72/(1+$A107)^6.5+O$72/(1+$A107)^7.5+P$72/(1+$A107)^8.5+Q$72/(1+$A107)^9.5+Q$72*(1+C$105)/($A107-C$105)/(1+$A107)^9.5+$B$12)/$B$10</f>
        <v/>
      </c>
      <c r="D107" s="53">
        <f>(H$72/(1+$A107)^0.5+I$72/(1+$A107)^1.5+J$72/(1+$A107)^2.5+K$72/(1+$A107)^3.5+L$72/(1+$A107)^4.5+M$72/(1+$A107)^5.5+N$72/(1+$A107)^6.5+O$72/(1+$A107)^7.5+P$72/(1+$A107)^8.5+Q$72/(1+$A107)^9.5+Q$72*(1+D$105)/($A107-D$105)/(1+$A107)^9.5+$B$12)/$B$10</f>
        <v/>
      </c>
      <c r="E107" s="53">
        <f>(H$72/(1+$A107)^0.5+I$72/(1+$A107)^1.5+J$72/(1+$A107)^2.5+K$72/(1+$A107)^3.5+L$72/(1+$A107)^4.5+M$72/(1+$A107)^5.5+N$72/(1+$A107)^6.5+O$72/(1+$A107)^7.5+P$72/(1+$A107)^8.5+Q$72/(1+$A107)^9.5+Q$72*(1+E$105)/($A107-E$105)/(1+$A107)^9.5+$B$12)/$B$10</f>
        <v/>
      </c>
      <c r="F107" s="54">
        <f>(H$72/(1+$A107)^0.5+I$72/(1+$A107)^1.5+J$72/(1+$A107)^2.5+K$72/(1+$A107)^3.5+L$72/(1+$A107)^4.5+M$72/(1+$A107)^5.5+N$72/(1+$A107)^6.5+O$72/(1+$A107)^7.5+P$72/(1+$A107)^8.5+Q$72/(1+$A107)^9.5+Q$72*(1+F$105)/($A107-F$105)/(1+$A107)^9.5+$B$12)/$B$10</f>
        <v/>
      </c>
    </row>
    <row r="108">
      <c r="A108" s="52" t="n">
        <v>0.1</v>
      </c>
      <c r="B108" s="53">
        <f>(H$72/(1+$A108)^0.5+I$72/(1+$A108)^1.5+J$72/(1+$A108)^2.5+K$72/(1+$A108)^3.5+L$72/(1+$A108)^4.5+M$72/(1+$A108)^5.5+N$72/(1+$A108)^6.5+O$72/(1+$A108)^7.5+P$72/(1+$A108)^8.5+Q$72/(1+$A108)^9.5+Q$72*(1+B$105)/($A108-B$105)/(1+$A108)^9.5+$B$12)/$B$10</f>
        <v/>
      </c>
      <c r="C108" s="53">
        <f>(H$72/(1+$A108)^0.5+I$72/(1+$A108)^1.5+J$72/(1+$A108)^2.5+K$72/(1+$A108)^3.5+L$72/(1+$A108)^4.5+M$72/(1+$A108)^5.5+N$72/(1+$A108)^6.5+O$72/(1+$A108)^7.5+P$72/(1+$A108)^8.5+Q$72/(1+$A108)^9.5+Q$72*(1+C$105)/($A108-C$105)/(1+$A108)^9.5+$B$12)/$B$10</f>
        <v/>
      </c>
      <c r="D108" s="55">
        <f>(H$72/(1+$A108)^0.5+I$72/(1+$A108)^1.5+J$72/(1+$A108)^2.5+K$72/(1+$A108)^3.5+L$72/(1+$A108)^4.5+M$72/(1+$A108)^5.5+N$72/(1+$A108)^6.5+O$72/(1+$A108)^7.5+P$72/(1+$A108)^8.5+Q$72/(1+$A108)^9.5+Q$72*(1+D$105)/($A108-D$105)/(1+$A108)^9.5+$B$12)/$B$10</f>
        <v/>
      </c>
      <c r="E108" s="53">
        <f>(H$72/(1+$A108)^0.5+I$72/(1+$A108)^1.5+J$72/(1+$A108)^2.5+K$72/(1+$A108)^3.5+L$72/(1+$A108)^4.5+M$72/(1+$A108)^5.5+N$72/(1+$A108)^6.5+O$72/(1+$A108)^7.5+P$72/(1+$A108)^8.5+Q$72/(1+$A108)^9.5+Q$72*(1+E$105)/($A108-E$105)/(1+$A108)^9.5+$B$12)/$B$10</f>
        <v/>
      </c>
      <c r="F108" s="54">
        <f>(H$72/(1+$A108)^0.5+I$72/(1+$A108)^1.5+J$72/(1+$A108)^2.5+K$72/(1+$A108)^3.5+L$72/(1+$A108)^4.5+M$72/(1+$A108)^5.5+N$72/(1+$A108)^6.5+O$72/(1+$A108)^7.5+P$72/(1+$A108)^8.5+Q$72/(1+$A108)^9.5+Q$72*(1+F$105)/($A108-F$105)/(1+$A108)^9.5+$B$12)/$B$10</f>
        <v/>
      </c>
    </row>
    <row r="109">
      <c r="A109" s="52" t="n">
        <v>0.11</v>
      </c>
      <c r="B109" s="53">
        <f>(H$72/(1+$A109)^0.5+I$72/(1+$A109)^1.5+J$72/(1+$A109)^2.5+K$72/(1+$A109)^3.5+L$72/(1+$A109)^4.5+M$72/(1+$A109)^5.5+N$72/(1+$A109)^6.5+O$72/(1+$A109)^7.5+P$72/(1+$A109)^8.5+Q$72/(1+$A109)^9.5+Q$72*(1+B$105)/($A109-B$105)/(1+$A109)^9.5+$B$12)/$B$10</f>
        <v/>
      </c>
      <c r="C109" s="53">
        <f>(H$72/(1+$A109)^0.5+I$72/(1+$A109)^1.5+J$72/(1+$A109)^2.5+K$72/(1+$A109)^3.5+L$72/(1+$A109)^4.5+M$72/(1+$A109)^5.5+N$72/(1+$A109)^6.5+O$72/(1+$A109)^7.5+P$72/(1+$A109)^8.5+Q$72/(1+$A109)^9.5+Q$72*(1+C$105)/($A109-C$105)/(1+$A109)^9.5+$B$12)/$B$10</f>
        <v/>
      </c>
      <c r="D109" s="53">
        <f>(H$72/(1+$A109)^0.5+I$72/(1+$A109)^1.5+J$72/(1+$A109)^2.5+K$72/(1+$A109)^3.5+L$72/(1+$A109)^4.5+M$72/(1+$A109)^5.5+N$72/(1+$A109)^6.5+O$72/(1+$A109)^7.5+P$72/(1+$A109)^8.5+Q$72/(1+$A109)^9.5+Q$72*(1+D$105)/($A109-D$105)/(1+$A109)^9.5+$B$12)/$B$10</f>
        <v/>
      </c>
      <c r="E109" s="53">
        <f>(H$72/(1+$A109)^0.5+I$72/(1+$A109)^1.5+J$72/(1+$A109)^2.5+K$72/(1+$A109)^3.5+L$72/(1+$A109)^4.5+M$72/(1+$A109)^5.5+N$72/(1+$A109)^6.5+O$72/(1+$A109)^7.5+P$72/(1+$A109)^8.5+Q$72/(1+$A109)^9.5+Q$72*(1+E$105)/($A109-E$105)/(1+$A109)^9.5+$B$12)/$B$10</f>
        <v/>
      </c>
      <c r="F109" s="54">
        <f>(H$72/(1+$A109)^0.5+I$72/(1+$A109)^1.5+J$72/(1+$A109)^2.5+K$72/(1+$A109)^3.5+L$72/(1+$A109)^4.5+M$72/(1+$A109)^5.5+N$72/(1+$A109)^6.5+O$72/(1+$A109)^7.5+P$72/(1+$A109)^8.5+Q$72/(1+$A109)^9.5+Q$72*(1+F$105)/($A109-F$105)/(1+$A109)^9.5+$B$12)/$B$10</f>
        <v/>
      </c>
    </row>
    <row r="110">
      <c r="A110" s="56" t="n">
        <v>0.12</v>
      </c>
      <c r="B110" s="57">
        <f>(H$72/(1+$A110)^0.5+I$72/(1+$A110)^1.5+J$72/(1+$A110)^2.5+K$72/(1+$A110)^3.5+L$72/(1+$A110)^4.5+M$72/(1+$A110)^5.5+N$72/(1+$A110)^6.5+O$72/(1+$A110)^7.5+P$72/(1+$A110)^8.5+Q$72/(1+$A110)^9.5+Q$72*(1+B$105)/($A110-B$105)/(1+$A110)^9.5+$B$12)/$B$10</f>
        <v/>
      </c>
      <c r="C110" s="57">
        <f>(H$72/(1+$A110)^0.5+I$72/(1+$A110)^1.5+J$72/(1+$A110)^2.5+K$72/(1+$A110)^3.5+L$72/(1+$A110)^4.5+M$72/(1+$A110)^5.5+N$72/(1+$A110)^6.5+O$72/(1+$A110)^7.5+P$72/(1+$A110)^8.5+Q$72/(1+$A110)^9.5+Q$72*(1+C$105)/($A110-C$105)/(1+$A110)^9.5+$B$12)/$B$10</f>
        <v/>
      </c>
      <c r="D110" s="57">
        <f>(H$72/(1+$A110)^0.5+I$72/(1+$A110)^1.5+J$72/(1+$A110)^2.5+K$72/(1+$A110)^3.5+L$72/(1+$A110)^4.5+M$72/(1+$A110)^5.5+N$72/(1+$A110)^6.5+O$72/(1+$A110)^7.5+P$72/(1+$A110)^8.5+Q$72/(1+$A110)^9.5+Q$72*(1+D$105)/($A110-D$105)/(1+$A110)^9.5+$B$12)/$B$10</f>
        <v/>
      </c>
      <c r="E110" s="57">
        <f>(H$72/(1+$A110)^0.5+I$72/(1+$A110)^1.5+J$72/(1+$A110)^2.5+K$72/(1+$A110)^3.5+L$72/(1+$A110)^4.5+M$72/(1+$A110)^5.5+N$72/(1+$A110)^6.5+O$72/(1+$A110)^7.5+P$72/(1+$A110)^8.5+Q$72/(1+$A110)^9.5+Q$72*(1+E$105)/($A110-E$105)/(1+$A110)^9.5+$B$12)/$B$10</f>
        <v/>
      </c>
      <c r="F110" s="58">
        <f>(H$72/(1+$A110)^0.5+I$72/(1+$A110)^1.5+J$72/(1+$A110)^2.5+K$72/(1+$A110)^3.5+L$72/(1+$A110)^4.5+M$72/(1+$A110)^5.5+N$72/(1+$A110)^6.5+O$72/(1+$A110)^7.5+P$72/(1+$A110)^8.5+Q$72/(1+$A110)^9.5+Q$72*(1+F$105)/($A110-F$105)/(1+$A110)^9.5+$B$12)/$B$10</f>
        <v/>
      </c>
    </row>
    <row r="112">
      <c r="A112" s="47" t="inlineStr">
        <is>
          <t>Table 2: Revenue Growth vs EBIT Margin (Uniform)</t>
        </is>
      </c>
      <c r="B112" s="48" t="n"/>
      <c r="C112" s="48" t="n"/>
      <c r="D112" s="48" t="n"/>
      <c r="E112" s="48" t="n"/>
      <c r="F112" s="49" t="n"/>
    </row>
    <row r="113">
      <c r="A113" s="20" t="inlineStr">
        <is>
          <t>Growth \ EBIT Margin</t>
        </is>
      </c>
      <c r="B113" s="50" t="n">
        <v>0.3</v>
      </c>
      <c r="C113" s="50" t="n">
        <v>0.32</v>
      </c>
      <c r="D113" s="50" t="n">
        <v>0.34</v>
      </c>
      <c r="E113" s="50" t="n">
        <v>0.36</v>
      </c>
      <c r="F113" s="51" t="n">
        <v>0.38</v>
      </c>
    </row>
    <row r="114">
      <c r="A114" s="52" t="n">
        <v>0.03</v>
      </c>
      <c r="B114" s="53">
        <f>($G$51*((1+$A114)*(B$113*(1-$B$15)+$B$16-$B$17)-$A114*$B$18)/SQRT(1+$B$47)*(1-((1+$A114)/(1+$B$47))^10)/(1-(1+$A114)/(1+$B$47))+$G$51*((1+$A114)*(B$113*(1-$B$15)+$B$16-$B$17)-$A114*$B$18)*(1+$A114)^9*(1+$B$46)/($B$47-$B$46)/(1+$B$47)^9.5+$B$12)/$B$10</f>
        <v/>
      </c>
      <c r="C114" s="53">
        <f>($G$51*((1+$A114)*(C$113*(1-$B$15)+$B$16-$B$17)-$A114*$B$18)/SQRT(1+$B$47)*(1-((1+$A114)/(1+$B$47))^10)/(1-(1+$A114)/(1+$B$47))+$G$51*((1+$A114)*(C$113*(1-$B$15)+$B$16-$B$17)-$A114*$B$18)*(1+$A114)^9*(1+$B$46)/($B$47-$B$46)/(1+$B$47)^9.5+$B$12)/$B$10</f>
        <v/>
      </c>
      <c r="D114" s="53">
        <f>($G$51*((1+$A114)*(D$113*(1-$B$15)+$B$16-$B$17)-$A114*$B$18)/SQRT(1+$B$47)*(1-((1+$A114)/(1+$B$47))^10)/(1-(1+$A114)/(1+$B$47))+$G$51*((1+$A114)*(D$113*(1-$B$15)+$B$16-$B$17)-$A114*$B$18)*(1+$A114)^9*(1+$B$46)/($B$47-$B$46)/(1+$B$47)^9.5+$B$12)/$B$10</f>
        <v/>
      </c>
      <c r="E114" s="53">
        <f>($G$51*((1+$A114)*(E$113*(1-$B$15)+$B$16-$B$17)-$A114*$B$18)/SQRT(1+$B$47)*(1-((1+$A114)/(1+$B$47))^10)/(1-(1+$A114)/(1+$B$47))+$G$51*((1+$A114)*(E$113*(1-$B$15)+$B$16-$B$17)-$A114*$B$18)*(1+$A114)^9*(1+$B$46)/($B$47-$B$46)/(1+$B$47)^9.5+$B$12)/$B$10</f>
        <v/>
      </c>
      <c r="F114" s="54">
        <f>($G$51*((1+$A114)*(F$113*(1-$B$15)+$B$16-$B$17)-$A114*$B$18)/SQRT(1+$B$47)*(1-((1+$A114)/(1+$B$47))^10)/(1-(1+$A114)/(1+$B$47))+$G$51*((1+$A114)*(F$113*(1-$B$15)+$B$16-$B$17)-$A114*$B$18)*(1+$A114)^9*(1+$B$46)/($B$47-$B$46)/(1+$B$47)^9.5+$B$12)/$B$10</f>
        <v/>
      </c>
    </row>
    <row r="115">
      <c r="A115" s="52" t="n">
        <v>0.04</v>
      </c>
      <c r="B115" s="53">
        <f>($G$51*((1+$A115)*(B$113*(1-$B$15)+$B$16-$B$17)-$A115*$B$18)/SQRT(1+$B$47)*(1-((1+$A115)/(1+$B$47))^10)/(1-(1+$A115)/(1+$B$47))+$G$51*((1+$A115)*(B$113*(1-$B$15)+$B$16-$B$17)-$A115*$B$18)*(1+$A115)^9*(1+$B$46)/($B$47-$B$46)/(1+$B$47)^9.5+$B$12)/$B$10</f>
        <v/>
      </c>
      <c r="C115" s="53">
        <f>($G$51*((1+$A115)*(C$113*(1-$B$15)+$B$16-$B$17)-$A115*$B$18)/SQRT(1+$B$47)*(1-((1+$A115)/(1+$B$47))^10)/(1-(1+$A115)/(1+$B$47))+$G$51*((1+$A115)*(C$113*(1-$B$15)+$B$16-$B$17)-$A115*$B$18)*(1+$A115)^9*(1+$B$46)/($B$47-$B$46)/(1+$B$47)^9.5+$B$12)/$B$10</f>
        <v/>
      </c>
      <c r="D115" s="53">
        <f>($G$51*((1+$A115)*(D$113*(1-$B$15)+$B$16-$B$17)-$A115*$B$18)/SQRT(1+$B$47)*(1-((1+$A115)/(1+$B$47))^10)/(1-(1+$A115)/(1+$B$47))+$G$51*((1+$A115)*(D$113*(1-$B$15)+$B$16-$B$17)-$A115*$B$18)*(1+$A115)^9*(1+$B$46)/($B$47-$B$46)/(1+$B$47)^9.5+$B$12)/$B$10</f>
        <v/>
      </c>
      <c r="E115" s="53">
        <f>($G$51*((1+$A115)*(E$113*(1-$B$15)+$B$16-$B$17)-$A115*$B$18)/SQRT(1+$B$47)*(1-((1+$A115)/(1+$B$47))^10)/(1-(1+$A115)/(1+$B$47))+$G$51*((1+$A115)*(E$113*(1-$B$15)+$B$16-$B$17)-$A115*$B$18)*(1+$A115)^9*(1+$B$46)/($B$47-$B$46)/(1+$B$47)^9.5+$B$12)/$B$10</f>
        <v/>
      </c>
      <c r="F115" s="54">
        <f>($G$51*((1+$A115)*(F$113*(1-$B$15)+$B$16-$B$17)-$A115*$B$18)/SQRT(1+$B$47)*(1-((1+$A115)/(1+$B$47))^10)/(1-(1+$A115)/(1+$B$47))+$G$51*((1+$A115)*(F$113*(1-$B$15)+$B$16-$B$17)-$A115*$B$18)*(1+$A115)^9*(1+$B$46)/($B$47-$B$46)/(1+$B$47)^9.5+$B$12)/$B$10</f>
        <v/>
      </c>
    </row>
    <row r="116">
      <c r="A116" s="52" t="n">
        <v>0.05</v>
      </c>
      <c r="B116" s="53">
        <f>($G$51*((1+$A116)*(B$113*(1-$B$15)+$B$16-$B$17)-$A116*$B$18)/SQRT(1+$B$47)*(1-((1+$A116)/(1+$B$47))^10)/(1-(1+$A116)/(1+$B$47))+$G$51*((1+$A116)*(B$113*(1-$B$15)+$B$16-$B$17)-$A116*$B$18)*(1+$A116)^9*(1+$B$46)/($B$47-$B$46)/(1+$B$47)^9.5+$B$12)/$B$10</f>
        <v/>
      </c>
      <c r="C116" s="53">
        <f>($G$51*((1+$A116)*(C$113*(1-$B$15)+$B$16-$B$17)-$A116*$B$18)/SQRT(1+$B$47)*(1-((1+$A116)/(1+$B$47))^10)/(1-(1+$A116)/(1+$B$47))+$G$51*((1+$A116)*(C$113*(1-$B$15)+$B$16-$B$17)-$A116*$B$18)*(1+$A116)^9*(1+$B$46)/($B$47-$B$46)/(1+$B$47)^9.5+$B$12)/$B$10</f>
        <v/>
      </c>
      <c r="D116" s="55">
        <f>($G$51*((1+$A116)*(D$113*(1-$B$15)+$B$16-$B$17)-$A116*$B$18)/SQRT(1+$B$47)*(1-((1+$A116)/(1+$B$47))^10)/(1-(1+$A116)/(1+$B$47))+$G$51*((1+$A116)*(D$113*(1-$B$15)+$B$16-$B$17)-$A116*$B$18)*(1+$A116)^9*(1+$B$46)/($B$47-$B$46)/(1+$B$47)^9.5+$B$12)/$B$10</f>
        <v/>
      </c>
      <c r="E116" s="53">
        <f>($G$51*((1+$A116)*(E$113*(1-$B$15)+$B$16-$B$17)-$A116*$B$18)/SQRT(1+$B$47)*(1-((1+$A116)/(1+$B$47))^10)/(1-(1+$A116)/(1+$B$47))+$G$51*((1+$A116)*(E$113*(1-$B$15)+$B$16-$B$17)-$A116*$B$18)*(1+$A116)^9*(1+$B$46)/($B$47-$B$46)/(1+$B$47)^9.5+$B$12)/$B$10</f>
        <v/>
      </c>
      <c r="F116" s="54">
        <f>($G$51*((1+$A116)*(F$113*(1-$B$15)+$B$16-$B$17)-$A116*$B$18)/SQRT(1+$B$47)*(1-((1+$A116)/(1+$B$47))^10)/(1-(1+$A116)/(1+$B$47))+$G$51*((1+$A116)*(F$113*(1-$B$15)+$B$16-$B$17)-$A116*$B$18)*(1+$A116)^9*(1+$B$46)/($B$47-$B$46)/(1+$B$47)^9.5+$B$12)/$B$10</f>
        <v/>
      </c>
    </row>
    <row r="117">
      <c r="A117" s="52" t="n">
        <v>0.06</v>
      </c>
      <c r="B117" s="53">
        <f>($G$51*((1+$A117)*(B$113*(1-$B$15)+$B$16-$B$17)-$A117*$B$18)/SQRT(1+$B$47)*(1-((1+$A117)/(1+$B$47))^10)/(1-(1+$A117)/(1+$B$47))+$G$51*((1+$A117)*(B$113*(1-$B$15)+$B$16-$B$17)-$A117*$B$18)*(1+$A117)^9*(1+$B$46)/($B$47-$B$46)/(1+$B$47)^9.5+$B$12)/$B$10</f>
        <v/>
      </c>
      <c r="C117" s="53">
        <f>($G$51*((1+$A117)*(C$113*(1-$B$15)+$B$16-$B$17)-$A117*$B$18)/SQRT(1+$B$47)*(1-((1+$A117)/(1+$B$47))^10)/(1-(1+$A117)/(1+$B$47))+$G$51*((1+$A117)*(C$113*(1-$B$15)+$B$16-$B$17)-$A117*$B$18)*(1+$A117)^9*(1+$B$46)/($B$47-$B$46)/(1+$B$47)^9.5+$B$12)/$B$10</f>
        <v/>
      </c>
      <c r="D117" s="53">
        <f>($G$51*((1+$A117)*(D$113*(1-$B$15)+$B$16-$B$17)-$A117*$B$18)/SQRT(1+$B$47)*(1-((1+$A117)/(1+$B$47))^10)/(1-(1+$A117)/(1+$B$47))+$G$51*((1+$A117)*(D$113*(1-$B$15)+$B$16-$B$17)-$A117*$B$18)*(1+$A117)^9*(1+$B$46)/($B$47-$B$46)/(1+$B$47)^9.5+$B$12)/$B$10</f>
        <v/>
      </c>
      <c r="E117" s="53">
        <f>($G$51*((1+$A117)*(E$113*(1-$B$15)+$B$16-$B$17)-$A117*$B$18)/SQRT(1+$B$47)*(1-((1+$A117)/(1+$B$47))^10)/(1-(1+$A117)/(1+$B$47))+$G$51*((1+$A117)*(E$113*(1-$B$15)+$B$16-$B$17)-$A117*$B$18)*(1+$A117)^9*(1+$B$46)/($B$47-$B$46)/(1+$B$47)^9.5+$B$12)/$B$10</f>
        <v/>
      </c>
      <c r="F117" s="54">
        <f>($G$51*((1+$A117)*(F$113*(1-$B$15)+$B$16-$B$17)-$A117*$B$18)/SQRT(1+$B$47)*(1-((1+$A117)/(1+$B$47))^10)/(1-(1+$A117)/(1+$B$47))+$G$51*((1+$A117)*(F$113*(1-$B$15)+$B$16-$B$17)-$A117*$B$18)*(1+$A117)^9*(1+$B$46)/($B$47-$B$46)/(1+$B$47)^9.5+$B$12)/$B$10</f>
        <v/>
      </c>
    </row>
    <row r="118">
      <c r="A118" s="56" t="n">
        <v>0.07000000000000001</v>
      </c>
      <c r="B118" s="57">
        <f>($G$51*((1+$A118)*(B$113*(1-$B$15)+$B$16-$B$17)-$A118*$B$18)/SQRT(1+$B$47)*(1-((1+$A118)/(1+$B$47))^10)/(1-(1+$A118)/(1+$B$47))+$G$51*((1+$A118)*(B$113*(1-$B$15)+$B$16-$B$17)-$A118*$B$18)*(1+$A118)^9*(1+$B$46)/($B$47-$B$46)/(1+$B$47)^9.5+$B$12)/$B$10</f>
        <v/>
      </c>
      <c r="C118" s="57">
        <f>($G$51*((1+$A118)*(C$113*(1-$B$15)+$B$16-$B$17)-$A118*$B$18)/SQRT(1+$B$47)*(1-((1+$A118)/(1+$B$47))^10)/(1-(1+$A118)/(1+$B$47))+$G$51*((1+$A118)*(C$113*(1-$B$15)+$B$16-$B$17)-$A118*$B$18)*(1+$A118)^9*(1+$B$46)/($B$47-$B$46)/(1+$B$47)^9.5+$B$12)/$B$10</f>
        <v/>
      </c>
      <c r="D118" s="57">
        <f>($G$51*((1+$A118)*(D$113*(1-$B$15)+$B$16-$B$17)-$A118*$B$18)/SQRT(1+$B$47)*(1-((1+$A118)/(1+$B$47))^10)/(1-(1+$A118)/(1+$B$47))+$G$51*((1+$A118)*(D$113*(1-$B$15)+$B$16-$B$17)-$A118*$B$18)*(1+$A118)^9*(1+$B$46)/($B$47-$B$46)/(1+$B$47)^9.5+$B$12)/$B$10</f>
        <v/>
      </c>
      <c r="E118" s="57">
        <f>($G$51*((1+$A118)*(E$113*(1-$B$15)+$B$16-$B$17)-$A118*$B$18)/SQRT(1+$B$47)*(1-((1+$A118)/(1+$B$47))^10)/(1-(1+$A118)/(1+$B$47))+$G$51*((1+$A118)*(E$113*(1-$B$15)+$B$16-$B$17)-$A118*$B$18)*(1+$A118)^9*(1+$B$46)/($B$47-$B$46)/(1+$B$47)^9.5+$B$12)/$B$10</f>
        <v/>
      </c>
      <c r="F118" s="58">
        <f>($G$51*((1+$A118)*(F$113*(1-$B$15)+$B$16-$B$17)-$A118*$B$18)/SQRT(1+$B$47)*(1-((1+$A118)/(1+$B$47))^10)/(1-(1+$A118)/(1+$B$47))+$G$51*((1+$A118)*(F$113*(1-$B$15)+$B$16-$B$17)-$A118*$B$18)*(1+$A118)^9*(1+$B$46)/($B$47-$B$46)/(1+$B$47)^9.5+$B$12)/$B$10</f>
        <v/>
      </c>
    </row>
    <row r="120">
      <c r="A120" s="47" t="inlineStr">
        <is>
          <t>Table 3: Beta vs Risk-Free Rate</t>
        </is>
      </c>
      <c r="B120" s="48" t="n"/>
      <c r="C120" s="48" t="n"/>
      <c r="D120" s="48" t="n"/>
      <c r="E120" s="48" t="n"/>
      <c r="F120" s="49" t="n"/>
    </row>
    <row r="121">
      <c r="A121" s="20" t="inlineStr">
        <is>
          <t>Beta \ Risk-Free Rate</t>
        </is>
      </c>
      <c r="B121" s="50" t="n">
        <v>0.0335</v>
      </c>
      <c r="C121" s="50" t="n">
        <v>0.0385</v>
      </c>
      <c r="D121" s="50" t="n">
        <v>0.0435</v>
      </c>
      <c r="E121" s="50" t="n">
        <v>0.0485</v>
      </c>
      <c r="F121" s="51" t="n">
        <v>0.0535</v>
      </c>
    </row>
    <row r="122">
      <c r="A122" s="59" t="n">
        <v>0.79</v>
      </c>
      <c r="B122" s="53">
        <f>(H$72/(1+B$121+$A122*$B$19)^0.5+I$72/(1+B$121+$A122*$B$19)^1.5+J$72/(1+B$121+$A122*$B$19)^2.5+K$72/(1+B$121+$A122*$B$19)^3.5+L$72/(1+B$121+$A122*$B$19)^4.5+M$72/(1+B$121+$A122*$B$19)^5.5+N$72/(1+B$121+$A122*$B$19)^6.5+O$72/(1+B$121+$A122*$B$19)^7.5+P$72/(1+B$121+$A122*$B$19)^8.5+Q$72/(1+B$121+$A122*$B$19)^9.5+Q$72*(1+$B$46)/(B$121+$A122*$B$19-$B$46)/(1+B$121+$A122*$B$19)^9.5+$B$12)/$B$10</f>
        <v/>
      </c>
      <c r="C122" s="53">
        <f>(H$72/(1+C$121+$A122*$B$19)^0.5+I$72/(1+C$121+$A122*$B$19)^1.5+J$72/(1+C$121+$A122*$B$19)^2.5+K$72/(1+C$121+$A122*$B$19)^3.5+L$72/(1+C$121+$A122*$B$19)^4.5+M$72/(1+C$121+$A122*$B$19)^5.5+N$72/(1+C$121+$A122*$B$19)^6.5+O$72/(1+C$121+$A122*$B$19)^7.5+P$72/(1+C$121+$A122*$B$19)^8.5+Q$72/(1+C$121+$A122*$B$19)^9.5+Q$72*(1+$B$46)/(C$121+$A122*$B$19-$B$46)/(1+C$121+$A122*$B$19)^9.5+$B$12)/$B$10</f>
        <v/>
      </c>
      <c r="D122" s="53">
        <f>(H$72/(1+D$121+$A122*$B$19)^0.5+I$72/(1+D$121+$A122*$B$19)^1.5+J$72/(1+D$121+$A122*$B$19)^2.5+K$72/(1+D$121+$A122*$B$19)^3.5+L$72/(1+D$121+$A122*$B$19)^4.5+M$72/(1+D$121+$A122*$B$19)^5.5+N$72/(1+D$121+$A122*$B$19)^6.5+O$72/(1+D$121+$A122*$B$19)^7.5+P$72/(1+D$121+$A122*$B$19)^8.5+Q$72/(1+D$121+$A122*$B$19)^9.5+Q$72*(1+$B$46)/(D$121+$A122*$B$19-$B$46)/(1+D$121+$A122*$B$19)^9.5+$B$12)/$B$10</f>
        <v/>
      </c>
      <c r="E122" s="53">
        <f>(H$72/(1+E$121+$A122*$B$19)^0.5+I$72/(1+E$121+$A122*$B$19)^1.5+J$72/(1+E$121+$A122*$B$19)^2.5+K$72/(1+E$121+$A122*$B$19)^3.5+L$72/(1+E$121+$A122*$B$19)^4.5+M$72/(1+E$121+$A122*$B$19)^5.5+N$72/(1+E$121+$A122*$B$19)^6.5+O$72/(1+E$121+$A122*$B$19)^7.5+P$72/(1+E$121+$A122*$B$19)^8.5+Q$72/(1+E$121+$A122*$B$19)^9.5+Q$72*(1+$B$46)/(E$121+$A122*$B$19-$B$46)/(1+E$121+$A122*$B$19)^9.5+$B$12)/$B$10</f>
        <v/>
      </c>
      <c r="F122" s="54">
        <f>(H$72/(1+F$121+$A122*$B$19)^0.5+I$72/(1+F$121+$A122*$B$19)^1.5+J$72/(1+F$121+$A122*$B$19)^2.5+K$72/(1+F$121+$A122*$B$19)^3.5+L$72/(1+F$121+$A122*$B$19)^4.5+M$72/(1+F$121+$A122*$B$19)^5.5+N$72/(1+F$121+$A122*$B$19)^6.5+O$72/(1+F$121+$A122*$B$19)^7.5+P$72/(1+F$121+$A122*$B$19)^8.5+Q$72/(1+F$121+$A122*$B$19)^9.5+Q$72*(1+$B$46)/(F$121+$A122*$B$19-$B$46)/(1+F$121+$A122*$B$19)^9.5+$B$12)/$B$10</f>
        <v/>
      </c>
    </row>
    <row r="123">
      <c r="A123" s="59" t="n">
        <v>0.9399999999999999</v>
      </c>
      <c r="B123" s="53">
        <f>(H$72/(1+B$121+$A123*$B$19)^0.5+I$72/(1+B$121+$A123*$B$19)^1.5+J$72/(1+B$121+$A123*$B$19)^2.5+K$72/(1+B$121+$A123*$B$19)^3.5+L$72/(1+B$121+$A123*$B$19)^4.5+M$72/(1+B$121+$A123*$B$19)^5.5+N$72/(1+B$121+$A123*$B$19)^6.5+O$72/(1+B$121+$A123*$B$19)^7.5+P$72/(1+B$121+$A123*$B$19)^8.5+Q$72/(1+B$121+$A123*$B$19)^9.5+Q$72*(1+$B$46)/(B$121+$A123*$B$19-$B$46)/(1+B$121+$A123*$B$19)^9.5+$B$12)/$B$10</f>
        <v/>
      </c>
      <c r="C123" s="53">
        <f>(H$72/(1+C$121+$A123*$B$19)^0.5+I$72/(1+C$121+$A123*$B$19)^1.5+J$72/(1+C$121+$A123*$B$19)^2.5+K$72/(1+C$121+$A123*$B$19)^3.5+L$72/(1+C$121+$A123*$B$19)^4.5+M$72/(1+C$121+$A123*$B$19)^5.5+N$72/(1+C$121+$A123*$B$19)^6.5+O$72/(1+C$121+$A123*$B$19)^7.5+P$72/(1+C$121+$A123*$B$19)^8.5+Q$72/(1+C$121+$A123*$B$19)^9.5+Q$72*(1+$B$46)/(C$121+$A123*$B$19-$B$46)/(1+C$121+$A123*$B$19)^9.5+$B$12)/$B$10</f>
        <v/>
      </c>
      <c r="D123" s="53">
        <f>(H$72/(1+D$121+$A123*$B$19)^0.5+I$72/(1+D$121+$A123*$B$19)^1.5+J$72/(1+D$121+$A123*$B$19)^2.5+K$72/(1+D$121+$A123*$B$19)^3.5+L$72/(1+D$121+$A123*$B$19)^4.5+M$72/(1+D$121+$A123*$B$19)^5.5+N$72/(1+D$121+$A123*$B$19)^6.5+O$72/(1+D$121+$A123*$B$19)^7.5+P$72/(1+D$121+$A123*$B$19)^8.5+Q$72/(1+D$121+$A123*$B$19)^9.5+Q$72*(1+$B$46)/(D$121+$A123*$B$19-$B$46)/(1+D$121+$A123*$B$19)^9.5+$B$12)/$B$10</f>
        <v/>
      </c>
      <c r="E123" s="53">
        <f>(H$72/(1+E$121+$A123*$B$19)^0.5+I$72/(1+E$121+$A123*$B$19)^1.5+J$72/(1+E$121+$A123*$B$19)^2.5+K$72/(1+E$121+$A123*$B$19)^3.5+L$72/(1+E$121+$A123*$B$19)^4.5+M$72/(1+E$121+$A123*$B$19)^5.5+N$72/(1+E$121+$A123*$B$19)^6.5+O$72/(1+E$121+$A123*$B$19)^7.5+P$72/(1+E$121+$A123*$B$19)^8.5+Q$72/(1+E$121+$A123*$B$19)^9.5+Q$72*(1+$B$46)/(E$121+$A123*$B$19-$B$46)/(1+E$121+$A123*$B$19)^9.5+$B$12)/$B$10</f>
        <v/>
      </c>
      <c r="F123" s="54">
        <f>(H$72/(1+F$121+$A123*$B$19)^0.5+I$72/(1+F$121+$A123*$B$19)^1.5+J$72/(1+F$121+$A123*$B$19)^2.5+K$72/(1+F$121+$A123*$B$19)^3.5+L$72/(1+F$121+$A123*$B$19)^4.5+M$72/(1+F$121+$A123*$B$19)^5.5+N$72/(1+F$121+$A123*$B$19)^6.5+O$72/(1+F$121+$A123*$B$19)^7.5+P$72/(1+F$121+$A123*$B$19)^8.5+Q$72/(1+F$121+$A123*$B$19)^9.5+Q$72*(1+$B$46)/(F$121+$A123*$B$19-$B$46)/(1+F$121+$A123*$B$19)^9.5+$B$12)/$B$10</f>
        <v/>
      </c>
    </row>
    <row r="124">
      <c r="A124" s="59" t="n">
        <v>1.09</v>
      </c>
      <c r="B124" s="53">
        <f>(H$72/(1+B$121+$A124*$B$19)^0.5+I$72/(1+B$121+$A124*$B$19)^1.5+J$72/(1+B$121+$A124*$B$19)^2.5+K$72/(1+B$121+$A124*$B$19)^3.5+L$72/(1+B$121+$A124*$B$19)^4.5+M$72/(1+B$121+$A124*$B$19)^5.5+N$72/(1+B$121+$A124*$B$19)^6.5+O$72/(1+B$121+$A124*$B$19)^7.5+P$72/(1+B$121+$A124*$B$19)^8.5+Q$72/(1+B$121+$A124*$B$19)^9.5+Q$72*(1+$B$46)/(B$121+$A124*$B$19-$B$46)/(1+B$121+$A124*$B$19)^9.5+$B$12)/$B$10</f>
        <v/>
      </c>
      <c r="C124" s="53">
        <f>(H$72/(1+C$121+$A124*$B$19)^0.5+I$72/(1+C$121+$A124*$B$19)^1.5+J$72/(1+C$121+$A124*$B$19)^2.5+K$72/(1+C$121+$A124*$B$19)^3.5+L$72/(1+C$121+$A124*$B$19)^4.5+M$72/(1+C$121+$A124*$B$19)^5.5+N$72/(1+C$121+$A124*$B$19)^6.5+O$72/(1+C$121+$A124*$B$19)^7.5+P$72/(1+C$121+$A124*$B$19)^8.5+Q$72/(1+C$121+$A124*$B$19)^9.5+Q$72*(1+$B$46)/(C$121+$A124*$B$19-$B$46)/(1+C$121+$A124*$B$19)^9.5+$B$12)/$B$10</f>
        <v/>
      </c>
      <c r="D124" s="55">
        <f>(H$72/(1+D$121+$A124*$B$19)^0.5+I$72/(1+D$121+$A124*$B$19)^1.5+J$72/(1+D$121+$A124*$B$19)^2.5+K$72/(1+D$121+$A124*$B$19)^3.5+L$72/(1+D$121+$A124*$B$19)^4.5+M$72/(1+D$121+$A124*$B$19)^5.5+N$72/(1+D$121+$A124*$B$19)^6.5+O$72/(1+D$121+$A124*$B$19)^7.5+P$72/(1+D$121+$A124*$B$19)^8.5+Q$72/(1+D$121+$A124*$B$19)^9.5+Q$72*(1+$B$46)/(D$121+$A124*$B$19-$B$46)/(1+D$121+$A124*$B$19)^9.5+$B$12)/$B$10</f>
        <v/>
      </c>
      <c r="E124" s="53">
        <f>(H$72/(1+E$121+$A124*$B$19)^0.5+I$72/(1+E$121+$A124*$B$19)^1.5+J$72/(1+E$121+$A124*$B$19)^2.5+K$72/(1+E$121+$A124*$B$19)^3.5+L$72/(1+E$121+$A124*$B$19)^4.5+M$72/(1+E$121+$A124*$B$19)^5.5+N$72/(1+E$121+$A124*$B$19)^6.5+O$72/(1+E$121+$A124*$B$19)^7.5+P$72/(1+E$121+$A124*$B$19)^8.5+Q$72/(1+E$121+$A124*$B$19)^9.5+Q$72*(1+$B$46)/(E$121+$A124*$B$19-$B$46)/(1+E$121+$A124*$B$19)^9.5+$B$12)/$B$10</f>
        <v/>
      </c>
      <c r="F124" s="54">
        <f>(H$72/(1+F$121+$A124*$B$19)^0.5+I$72/(1+F$121+$A124*$B$19)^1.5+J$72/(1+F$121+$A124*$B$19)^2.5+K$72/(1+F$121+$A124*$B$19)^3.5+L$72/(1+F$121+$A124*$B$19)^4.5+M$72/(1+F$121+$A124*$B$19)^5.5+N$72/(1+F$121+$A124*$B$19)^6.5+O$72/(1+F$121+$A124*$B$19)^7.5+P$72/(1+F$121+$A124*$B$19)^8.5+Q$72/(1+F$121+$A124*$B$19)^9.5+Q$72*(1+$B$46)/(F$121+$A124*$B$19-$B$46)/(1+F$121+$A124*$B$19)^9.5+$B$12)/$B$10</f>
        <v/>
      </c>
    </row>
    <row r="125">
      <c r="A125" s="59" t="n">
        <v>1.24</v>
      </c>
      <c r="B125" s="53">
        <f>(H$72/(1+B$121+$A125*$B$19)^0.5+I$72/(1+B$121+$A125*$B$19)^1.5+J$72/(1+B$121+$A125*$B$19)^2.5+K$72/(1+B$121+$A125*$B$19)^3.5+L$72/(1+B$121+$A125*$B$19)^4.5+M$72/(1+B$121+$A125*$B$19)^5.5+N$72/(1+B$121+$A125*$B$19)^6.5+O$72/(1+B$121+$A125*$B$19)^7.5+P$72/(1+B$121+$A125*$B$19)^8.5+Q$72/(1+B$121+$A125*$B$19)^9.5+Q$72*(1+$B$46)/(B$121+$A125*$B$19-$B$46)/(1+B$121+$A125*$B$19)^9.5+$B$12)/$B$10</f>
        <v/>
      </c>
      <c r="C125" s="53">
        <f>(H$72/(1+C$121+$A125*$B$19)^0.5+I$72/(1+C$121+$A125*$B$19)^1.5+J$72/(1+C$121+$A125*$B$19)^2.5+K$72/(1+C$121+$A125*$B$19)^3.5+L$72/(1+C$121+$A125*$B$19)^4.5+M$72/(1+C$121+$A125*$B$19)^5.5+N$72/(1+C$121+$A125*$B$19)^6.5+O$72/(1+C$121+$A125*$B$19)^7.5+P$72/(1+C$121+$A125*$B$19)^8.5+Q$72/(1+C$121+$A125*$B$19)^9.5+Q$72*(1+$B$46)/(C$121+$A125*$B$19-$B$46)/(1+C$121+$A125*$B$19)^9.5+$B$12)/$B$10</f>
        <v/>
      </c>
      <c r="D125" s="53">
        <f>(H$72/(1+D$121+$A125*$B$19)^0.5+I$72/(1+D$121+$A125*$B$19)^1.5+J$72/(1+D$121+$A125*$B$19)^2.5+K$72/(1+D$121+$A125*$B$19)^3.5+L$72/(1+D$121+$A125*$B$19)^4.5+M$72/(1+D$121+$A125*$B$19)^5.5+N$72/(1+D$121+$A125*$B$19)^6.5+O$72/(1+D$121+$A125*$B$19)^7.5+P$72/(1+D$121+$A125*$B$19)^8.5+Q$72/(1+D$121+$A125*$B$19)^9.5+Q$72*(1+$B$46)/(D$121+$A125*$B$19-$B$46)/(1+D$121+$A125*$B$19)^9.5+$B$12)/$B$10</f>
        <v/>
      </c>
      <c r="E125" s="53">
        <f>(H$72/(1+E$121+$A125*$B$19)^0.5+I$72/(1+E$121+$A125*$B$19)^1.5+J$72/(1+E$121+$A125*$B$19)^2.5+K$72/(1+E$121+$A125*$B$19)^3.5+L$72/(1+E$121+$A125*$B$19)^4.5+M$72/(1+E$121+$A125*$B$19)^5.5+N$72/(1+E$121+$A125*$B$19)^6.5+O$72/(1+E$121+$A125*$B$19)^7.5+P$72/(1+E$121+$A125*$B$19)^8.5+Q$72/(1+E$121+$A125*$B$19)^9.5+Q$72*(1+$B$46)/(E$121+$A125*$B$19-$B$46)/(1+E$121+$A125*$B$19)^9.5+$B$12)/$B$10</f>
        <v/>
      </c>
      <c r="F125" s="54">
        <f>(H$72/(1+F$121+$A125*$B$19)^0.5+I$72/(1+F$121+$A125*$B$19)^1.5+J$72/(1+F$121+$A125*$B$19)^2.5+K$72/(1+F$121+$A125*$B$19)^3.5+L$72/(1+F$121+$A125*$B$19)^4.5+M$72/(1+F$121+$A125*$B$19)^5.5+N$72/(1+F$121+$A125*$B$19)^6.5+O$72/(1+F$121+$A125*$B$19)^7.5+P$72/(1+F$121+$A125*$B$19)^8.5+Q$72/(1+F$121+$A125*$B$19)^9.5+Q$72*(1+$B$46)/(F$121+$A125*$B$19-$B$46)/(1+F$121+$A125*$B$19)^9.5+$B$12)/$B$10</f>
        <v/>
      </c>
    </row>
    <row r="126">
      <c r="A126" s="60" t="n">
        <v>1.39</v>
      </c>
      <c r="B126" s="57">
        <f>(H$72/(1+B$121+$A126*$B$19)^0.5+I$72/(1+B$121+$A126*$B$19)^1.5+J$72/(1+B$121+$A126*$B$19)^2.5+K$72/(1+B$121+$A126*$B$19)^3.5+L$72/(1+B$121+$A126*$B$19)^4.5+M$72/(1+B$121+$A126*$B$19)^5.5+N$72/(1+B$121+$A126*$B$19)^6.5+O$72/(1+B$121+$A126*$B$19)^7.5+P$72/(1+B$121+$A126*$B$19)^8.5+Q$72/(1+B$121+$A126*$B$19)^9.5+Q$72*(1+$B$46)/(B$121+$A126*$B$19-$B$46)/(1+B$121+$A126*$B$19)^9.5+$B$12)/$B$10</f>
        <v/>
      </c>
      <c r="C126" s="57">
        <f>(H$72/(1+C$121+$A126*$B$19)^0.5+I$72/(1+C$121+$A126*$B$19)^1.5+J$72/(1+C$121+$A126*$B$19)^2.5+K$72/(1+C$121+$A126*$B$19)^3.5+L$72/(1+C$121+$A126*$B$19)^4.5+M$72/(1+C$121+$A126*$B$19)^5.5+N$72/(1+C$121+$A126*$B$19)^6.5+O$72/(1+C$121+$A126*$B$19)^7.5+P$72/(1+C$121+$A126*$B$19)^8.5+Q$72/(1+C$121+$A126*$B$19)^9.5+Q$72*(1+$B$46)/(C$121+$A126*$B$19-$B$46)/(1+C$121+$A126*$B$19)^9.5+$B$12)/$B$10</f>
        <v/>
      </c>
      <c r="D126" s="57">
        <f>(H$72/(1+D$121+$A126*$B$19)^0.5+I$72/(1+D$121+$A126*$B$19)^1.5+J$72/(1+D$121+$A126*$B$19)^2.5+K$72/(1+D$121+$A126*$B$19)^3.5+L$72/(1+D$121+$A126*$B$19)^4.5+M$72/(1+D$121+$A126*$B$19)^5.5+N$72/(1+D$121+$A126*$B$19)^6.5+O$72/(1+D$121+$A126*$B$19)^7.5+P$72/(1+D$121+$A126*$B$19)^8.5+Q$72/(1+D$121+$A126*$B$19)^9.5+Q$72*(1+$B$46)/(D$121+$A126*$B$19-$B$46)/(1+D$121+$A126*$B$19)^9.5+$B$12)/$B$10</f>
        <v/>
      </c>
      <c r="E126" s="57">
        <f>(H$72/(1+E$121+$A126*$B$19)^0.5+I$72/(1+E$121+$A126*$B$19)^1.5+J$72/(1+E$121+$A126*$B$19)^2.5+K$72/(1+E$121+$A126*$B$19)^3.5+L$72/(1+E$121+$A126*$B$19)^4.5+M$72/(1+E$121+$A126*$B$19)^5.5+N$72/(1+E$121+$A126*$B$19)^6.5+O$72/(1+E$121+$A126*$B$19)^7.5+P$72/(1+E$121+$A126*$B$19)^8.5+Q$72/(1+E$121+$A126*$B$19)^9.5+Q$72*(1+$B$46)/(E$121+$A126*$B$19-$B$46)/(1+E$121+$A126*$B$19)^9.5+$B$12)/$B$10</f>
        <v/>
      </c>
      <c r="F126" s="58">
        <f>(H$72/(1+F$121+$A126*$B$19)^0.5+I$72/(1+F$121+$A126*$B$19)^1.5+J$72/(1+F$121+$A126*$B$19)^2.5+K$72/(1+F$121+$A126*$B$19)^3.5+L$72/(1+F$121+$A126*$B$19)^4.5+M$72/(1+F$121+$A126*$B$19)^5.5+N$72/(1+F$121+$A126*$B$19)^6.5+O$72/(1+F$121+$A126*$B$19)^7.5+P$72/(1+F$121+$A126*$B$19)^8.5+Q$72/(1+F$121+$A126*$B$19)^9.5+Q$72*(1+$B$46)/(F$121+$A126*$B$19-$B$46)/(1+F$121+$A126*$B$19)^9.5+$B$12)/$B$10</f>
        <v/>
      </c>
    </row>
  </sheetData>
  <mergeCells count="14">
    <mergeCell ref="A14:Q14"/>
    <mergeCell ref="A112:F112"/>
    <mergeCell ref="A21:Q21"/>
    <mergeCell ref="A102:F102"/>
    <mergeCell ref="A35:Q35"/>
    <mergeCell ref="A7:Q7"/>
    <mergeCell ref="A62:Q62"/>
    <mergeCell ref="A120:F120"/>
    <mergeCell ref="A86:Q86"/>
    <mergeCell ref="A28:Q28"/>
    <mergeCell ref="A42:Q42"/>
    <mergeCell ref="A49:Q49"/>
    <mergeCell ref="A104:F104"/>
    <mergeCell ref="A75:Q75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08000"/>
    <outlinePr summaryBelow="1" summaryRight="1"/>
    <pageSetUpPr/>
  </sheetPr>
  <dimension ref="A1:D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APPLE INC. (AAPL) — WACC CALCULATION</t>
        </is>
      </c>
    </row>
    <row r="2">
      <c r="A2" s="2" t="inlineStr">
        <is>
          <t>As of 2026-06-13</t>
        </is>
      </c>
    </row>
    <row r="4">
      <c r="A4" s="6" t="inlineStr">
        <is>
          <t>COST OF EQUITY (CAPM)</t>
        </is>
      </c>
      <c r="B4" s="6" t="n"/>
      <c r="C4" s="6" t="n"/>
      <c r="D4" s="6" t="n"/>
    </row>
    <row r="5">
      <c r="A5" s="7" t="n"/>
      <c r="B5" s="8" t="n"/>
      <c r="C5" s="8" t="n"/>
      <c r="D5" s="9" t="n"/>
    </row>
    <row r="6">
      <c r="A6" s="10" t="inlineStr">
        <is>
          <t>Risk-Free Rate (10Y Treasury)</t>
        </is>
      </c>
      <c r="B6" s="61" t="n">
        <v>0.0435</v>
      </c>
      <c r="C6" s="8" t="n"/>
      <c r="D6" s="9" t="n"/>
    </row>
    <row r="7">
      <c r="A7" s="10" t="inlineStr">
        <is>
          <t>Beta (5Y Monthly)</t>
        </is>
      </c>
      <c r="B7" s="62" t="n">
        <v>1.09</v>
      </c>
      <c r="C7" s="8" t="n"/>
      <c r="D7" s="9" t="n"/>
    </row>
    <row r="8">
      <c r="A8" s="10" t="inlineStr">
        <is>
          <t>Equity Risk Premium</t>
        </is>
      </c>
      <c r="B8" s="17" t="n">
        <v>0.055</v>
      </c>
      <c r="C8" s="8" t="n"/>
      <c r="D8" s="9" t="n"/>
    </row>
    <row r="9">
      <c r="A9" s="30" t="inlineStr">
        <is>
          <t>Cost of Equity</t>
        </is>
      </c>
      <c r="B9" s="63">
        <f>B6+B7*B8</f>
        <v/>
      </c>
      <c r="C9" s="15" t="n"/>
      <c r="D9" s="16" t="n"/>
    </row>
    <row r="11">
      <c r="A11" s="6" t="inlineStr">
        <is>
          <t>COST OF DEBT</t>
        </is>
      </c>
      <c r="B11" s="6" t="n"/>
      <c r="C11" s="6" t="n"/>
      <c r="D11" s="6" t="n"/>
    </row>
    <row r="12">
      <c r="A12" s="7" t="n"/>
      <c r="B12" s="8" t="n"/>
      <c r="C12" s="8" t="n"/>
      <c r="D12" s="9" t="n"/>
    </row>
    <row r="13">
      <c r="A13" s="10" t="inlineStr">
        <is>
          <t>Pre-Tax Cost of Debt</t>
        </is>
      </c>
      <c r="B13" s="61" t="n">
        <v>0.04</v>
      </c>
      <c r="C13" s="8" t="n"/>
      <c r="D13" s="9" t="n"/>
    </row>
    <row r="14">
      <c r="A14" s="10" t="inlineStr">
        <is>
          <t>Tax Rate</t>
        </is>
      </c>
      <c r="B14" s="64">
        <f>DCF!B15</f>
        <v/>
      </c>
      <c r="C14" s="8" t="n"/>
      <c r="D14" s="9" t="n"/>
    </row>
    <row r="15">
      <c r="A15" s="30" t="inlineStr">
        <is>
          <t>After-Tax Cost of Debt</t>
        </is>
      </c>
      <c r="B15" s="65">
        <f>B13*(1-B14)</f>
        <v/>
      </c>
      <c r="C15" s="15" t="n"/>
      <c r="D15" s="16" t="n"/>
    </row>
    <row r="17">
      <c r="A17" s="6" t="inlineStr">
        <is>
          <t>CAPITAL STRUCTURE</t>
        </is>
      </c>
      <c r="B17" s="6" t="n"/>
      <c r="C17" s="6" t="n"/>
      <c r="D17" s="6" t="n"/>
    </row>
    <row r="18">
      <c r="A18" s="7" t="n"/>
      <c r="B18" s="8" t="n"/>
      <c r="C18" s="8" t="n"/>
      <c r="D18" s="9" t="n"/>
    </row>
    <row r="19">
      <c r="A19" s="10" t="inlineStr">
        <is>
          <t>Current Stock Price ($)</t>
        </is>
      </c>
      <c r="B19" s="66">
        <f>DCF!B9</f>
        <v/>
      </c>
      <c r="C19" s="8" t="n"/>
      <c r="D19" s="9" t="n"/>
    </row>
    <row r="20">
      <c r="A20" s="10" t="inlineStr">
        <is>
          <t>Shares Outstanding (M)</t>
        </is>
      </c>
      <c r="B20" s="67">
        <f>DCF!B10</f>
        <v/>
      </c>
      <c r="C20" s="8" t="n"/>
      <c r="D20" s="9" t="n"/>
    </row>
    <row r="21">
      <c r="A21" s="27" t="inlineStr">
        <is>
          <t>Market Capitalization ($M)</t>
        </is>
      </c>
      <c r="B21" s="13">
        <f>B19*B20</f>
        <v/>
      </c>
      <c r="C21" s="8" t="n"/>
      <c r="D21" s="9" t="n"/>
    </row>
    <row r="22">
      <c r="A22" s="7" t="n"/>
      <c r="B22" s="8" t="n"/>
      <c r="C22" s="8" t="n"/>
      <c r="D22" s="9" t="n"/>
    </row>
    <row r="23">
      <c r="A23" s="10" t="inlineStr">
        <is>
          <t>Total Debt ($M)</t>
        </is>
      </c>
      <c r="B23" s="12" t="n">
        <v>98657</v>
      </c>
      <c r="C23" s="8" t="n"/>
      <c r="D23" s="9" t="n"/>
    </row>
    <row r="24">
      <c r="A24" s="10" t="inlineStr">
        <is>
          <t>Total Cash &amp; Investments ($M)</t>
        </is>
      </c>
      <c r="B24" s="12" t="n">
        <v>160537</v>
      </c>
      <c r="C24" s="8" t="n"/>
      <c r="D24" s="9" t="n"/>
    </row>
    <row r="25">
      <c r="A25" s="27" t="inlineStr">
        <is>
          <t>Net Cash ($M)</t>
        </is>
      </c>
      <c r="B25" s="13">
        <f>B24-B23</f>
        <v/>
      </c>
      <c r="C25" s="8" t="n"/>
      <c r="D25" s="9" t="n"/>
    </row>
    <row r="26">
      <c r="A26" s="7" t="n"/>
      <c r="B26" s="8" t="n"/>
      <c r="C26" s="8" t="n"/>
      <c r="D26" s="9" t="n"/>
    </row>
    <row r="27">
      <c r="A27" s="30" t="inlineStr">
        <is>
          <t>Enterprise Value ($M)</t>
        </is>
      </c>
      <c r="B27" s="68">
        <f>B21-B25</f>
        <v/>
      </c>
      <c r="C27" s="15" t="n"/>
      <c r="D27" s="16" t="n"/>
    </row>
    <row r="29">
      <c r="A29" s="6" t="inlineStr">
        <is>
          <t>WACC CALCULATION</t>
        </is>
      </c>
      <c r="B29" s="6" t="n"/>
      <c r="C29" s="6" t="n"/>
      <c r="D29" s="6" t="n"/>
    </row>
    <row r="30">
      <c r="A30" s="7" t="n"/>
      <c r="B30" s="8" t="n"/>
      <c r="C30" s="8" t="n"/>
      <c r="D30" s="9" t="n"/>
    </row>
    <row r="31">
      <c r="A31" s="20" t="inlineStr">
        <is>
          <t>Component</t>
        </is>
      </c>
      <c r="B31" s="69" t="inlineStr">
        <is>
          <t>Weight</t>
        </is>
      </c>
      <c r="C31" s="69" t="inlineStr">
        <is>
          <t>Cost</t>
        </is>
      </c>
      <c r="D31" s="70" t="inlineStr">
        <is>
          <t>Contribution</t>
        </is>
      </c>
    </row>
    <row r="32">
      <c r="A32" s="10" t="inlineStr">
        <is>
          <t>Equity</t>
        </is>
      </c>
      <c r="B32" s="24">
        <f>B21/B27</f>
        <v/>
      </c>
      <c r="C32" s="71">
        <f>B9</f>
        <v/>
      </c>
      <c r="D32" s="72">
        <f>B32*C32</f>
        <v/>
      </c>
    </row>
    <row r="33">
      <c r="A33" s="10" t="inlineStr">
        <is>
          <t>Debt</t>
        </is>
      </c>
      <c r="B33" s="24">
        <f>1-B32</f>
        <v/>
      </c>
      <c r="C33" s="71">
        <f>B15</f>
        <v/>
      </c>
      <c r="D33" s="72">
        <f>B33*C33</f>
        <v/>
      </c>
    </row>
    <row r="34">
      <c r="A34" s="7" t="n"/>
      <c r="B34" s="8" t="n"/>
      <c r="C34" s="8" t="n"/>
      <c r="D34" s="9" t="n"/>
    </row>
    <row r="35">
      <c r="A35" s="30" t="inlineStr">
        <is>
          <t>WEIGHTED AVERAGE COST OF CAPITAL</t>
        </is>
      </c>
      <c r="B35" s="63">
        <f>D32+D33</f>
        <v/>
      </c>
      <c r="C35" s="15" t="n"/>
      <c r="D35" s="16" t="n"/>
    </row>
  </sheetData>
  <mergeCells count="4">
    <mergeCell ref="A29:D29"/>
    <mergeCell ref="A17:D17"/>
    <mergeCell ref="A4:D4"/>
    <mergeCell ref="A11:D1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2026-06-13T06:20:01Z</dcterms:created>
  <dcterms:modified xmlns:dcterms="http://purl.org/dc/terms/" xmlns:xsi="http://www.w3.org/2001/XMLSchema-instance" xsi:type="dcterms:W3CDTF">2026-06-13T06:20:01Z</dcterms:modified>
</cp:coreProperties>
</file>