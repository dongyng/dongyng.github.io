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Companies" sheetId="1" state="visible" r:id="rId1"/>
    <sheet xmlns:r="http://schemas.openxmlformats.org/officeDocument/2006/relationships" name="Target Revenue Build" sheetId="2" state="visible" r:id="rId2"/>
    <sheet xmlns:r="http://schemas.openxmlformats.org/officeDocument/2006/relationships" name="Intl Pricing Benchmarks" sheetId="3" state="visible" r:id="rId3"/>
    <sheet xmlns:r="http://schemas.openxmlformats.org/officeDocument/2006/relationships" name="Implied Valuation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WACC Analysis" sheetId="6" state="visible" r:id="rId6"/>
    <sheet xmlns:r="http://schemas.openxmlformats.org/officeDocument/2006/relationships" name="Notes &amp; 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x&quot;"/>
    <numFmt numFmtId="166" formatCode="#,##0.0"/>
    <numFmt numFmtId="167" formatCode="0.000"/>
    <numFmt numFmtId="168" formatCode="0.0"/>
  </numFmts>
  <fonts count="32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color rgb="00000000"/>
      <sz val="10"/>
    </font>
    <font>
      <name val="Times New Roman"/>
      <color rgb="00555555"/>
      <sz val="9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00CC"/>
      <sz val="11"/>
    </font>
    <font>
      <name val="Times New Roman"/>
      <color rgb="00888888"/>
      <sz val="11"/>
    </font>
    <font>
      <name val="Times New Roman"/>
      <b val="1"/>
      <color rgb="00FFFFFF"/>
      <sz val="12"/>
    </font>
    <font>
      <name val="Times New Roman"/>
      <color rgb="00555555"/>
      <sz val="11"/>
    </font>
    <font>
      <name val="Times New Roman"/>
      <b val="1"/>
      <color rgb="00FFFFFF"/>
      <sz val="11"/>
    </font>
    <font>
      <name val="Calibri"/>
      <b val="1"/>
      <sz val="12"/>
    </font>
    <font>
      <name val="Calibri"/>
      <i val="1"/>
      <sz val="9"/>
    </font>
    <font>
      <name val="Calibri"/>
      <color rgb="00666666"/>
      <sz val="9"/>
    </font>
    <font>
      <name val="Calibri"/>
      <b val="1"/>
      <sz val="11"/>
      <u val="single"/>
    </font>
    <font>
      <name val="Calibri"/>
      <b val="1"/>
      <sz val="11"/>
    </font>
    <font>
      <name val="Calibri"/>
      <b val="1"/>
      <i val="1"/>
      <sz val="10"/>
    </font>
    <font>
      <name val="Calibri"/>
      <sz val="10"/>
    </font>
    <font>
      <name val="Calibri"/>
      <color rgb="000000CC"/>
      <sz val="10"/>
    </font>
    <font>
      <name val="Calibri"/>
      <color rgb="00999999"/>
      <sz val="10"/>
    </font>
    <font>
      <name val="Calibri"/>
      <sz val="9"/>
    </font>
    <font>
      <name val="Calibri"/>
      <b val="1"/>
      <sz val="10"/>
    </font>
    <font>
      <name val="Calibri"/>
      <i val="1"/>
      <color rgb="00CC0000"/>
      <sz val="10"/>
    </font>
    <font>
      <name val="Calibri"/>
      <color rgb="00CC0000"/>
      <sz val="10"/>
    </font>
    <font>
      <name val="Calibri"/>
      <b val="1"/>
      <color rgb="00CC0000"/>
      <sz val="10"/>
    </font>
    <font>
      <name val="Calibri"/>
      <b val="1"/>
      <color rgb="001F4E79"/>
      <sz val="13"/>
    </font>
    <font>
      <name val="Calibri"/>
      <i val="1"/>
      <color rgb="00666666"/>
      <sz val="9"/>
    </font>
    <font>
      <name val="Calibri"/>
      <b val="1"/>
      <color rgb="002E75B6"/>
      <sz val="11"/>
    </font>
    <font>
      <name val="Calibri"/>
      <i val="1"/>
      <color rgb="002E75B6"/>
      <sz val="9"/>
    </font>
    <font>
      <name val="Calibri"/>
      <b val="1"/>
      <color rgb="00006100"/>
      <sz val="10"/>
    </font>
    <font>
      <name val="Calibri"/>
      <i val="1"/>
      <color rgb="00006100"/>
      <sz val="9"/>
    </font>
    <font>
      <name val="Calibri"/>
      <color rgb="000061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E0E0"/>
        <bgColor rgb="00FFE0E0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wrapText="1" indent="1"/>
    </xf>
    <xf numFmtId="0" fontId="3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5" fillId="4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166" fontId="6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 indent="1"/>
    </xf>
    <xf numFmtId="164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1" pivotButton="0" quotePrefix="0" xfId="0"/>
    <xf numFmtId="0" fontId="16" fillId="0" borderId="0" pivotButton="0" quotePrefix="0" xfId="0"/>
    <xf numFmtId="0" fontId="17" fillId="0" borderId="1" pivotButton="0" quotePrefix="0" xfId="0"/>
    <xf numFmtId="2" fontId="18" fillId="0" borderId="1" pivotButton="0" quotePrefix="0" xfId="0"/>
    <xf numFmtId="3" fontId="18" fillId="0" borderId="1" pivotButton="0" quotePrefix="0" xfId="0"/>
    <xf numFmtId="167" fontId="17" fillId="0" borderId="1" pivotButton="0" quotePrefix="0" xfId="0"/>
    <xf numFmtId="164" fontId="18" fillId="0" borderId="1" pivotButton="0" quotePrefix="0" xfId="0"/>
    <xf numFmtId="2" fontId="17" fillId="0" borderId="1" pivotButton="0" quotePrefix="0" xfId="0"/>
    <xf numFmtId="0" fontId="19" fillId="0" borderId="1" pivotButton="0" quotePrefix="0" xfId="0"/>
    <xf numFmtId="2" fontId="19" fillId="0" borderId="1" pivotButton="0" quotePrefix="0" xfId="0"/>
    <xf numFmtId="3" fontId="19" fillId="0" borderId="1" pivotButton="0" quotePrefix="0" xfId="0"/>
    <xf numFmtId="167" fontId="19" fillId="0" borderId="1" pivotButton="0" quotePrefix="0" xfId="0"/>
    <xf numFmtId="164" fontId="19" fillId="0" borderId="1" pivotButton="0" quotePrefix="0" xfId="0"/>
    <xf numFmtId="0" fontId="15" fillId="0" borderId="0" pivotButton="0" quotePrefix="0" xfId="0"/>
    <xf numFmtId="0" fontId="15" fillId="6" borderId="1" pivotButton="0" quotePrefix="0" xfId="0"/>
    <xf numFmtId="2" fontId="15" fillId="6" borderId="1" pivotButton="0" quotePrefix="0" xfId="0"/>
    <xf numFmtId="10" fontId="18" fillId="0" borderId="1" pivotButton="0" quotePrefix="0" xfId="0"/>
    <xf numFmtId="0" fontId="20" fillId="0" borderId="1" pivotButton="0" quotePrefix="0" xfId="0"/>
    <xf numFmtId="0" fontId="21" fillId="0" borderId="1" pivotButton="0" quotePrefix="0" xfId="0"/>
    <xf numFmtId="10" fontId="21" fillId="0" borderId="1" pivotButton="0" quotePrefix="0" xfId="0"/>
    <xf numFmtId="164" fontId="21" fillId="0" borderId="1" pivotButton="0" quotePrefix="0" xfId="0"/>
    <xf numFmtId="10" fontId="17" fillId="0" borderId="1" pivotButton="0" quotePrefix="0" xfId="0"/>
    <xf numFmtId="164" fontId="17" fillId="0" borderId="1" pivotButton="0" quotePrefix="0" xfId="0"/>
    <xf numFmtId="0" fontId="11" fillId="6" borderId="1" pivotButton="0" quotePrefix="0" xfId="0"/>
    <xf numFmtId="164" fontId="11" fillId="6" borderId="1" pivotButton="0" quotePrefix="0" xfId="0"/>
    <xf numFmtId="0" fontId="22" fillId="0" borderId="0" pivotButton="0" quotePrefix="0" xfId="0"/>
    <xf numFmtId="164" fontId="23" fillId="0" borderId="1" pivotButton="0" quotePrefix="0" xfId="0"/>
    <xf numFmtId="167" fontId="23" fillId="0" borderId="1" pivotButton="0" quotePrefix="0" xfId="0"/>
    <xf numFmtId="0" fontId="23" fillId="0" borderId="1" pivotButton="0" quotePrefix="0" xfId="0"/>
    <xf numFmtId="168" fontId="23" fillId="0" borderId="1" pivotButton="0" quotePrefix="0" xfId="0"/>
    <xf numFmtId="168" fontId="17" fillId="0" borderId="1" pivotButton="0" quotePrefix="0" xfId="0"/>
    <xf numFmtId="0" fontId="21" fillId="6" borderId="1" pivotButton="0" quotePrefix="0" xfId="0"/>
    <xf numFmtId="168" fontId="24" fillId="7" borderId="1" pivotButton="0" quotePrefix="0" xfId="0"/>
    <xf numFmtId="168" fontId="21" fillId="6" borderId="1" pivotButton="0" quotePrefix="0" xfId="0"/>
    <xf numFmtId="1" fontId="11" fillId="6" borderId="1" pivotButton="0" quotePrefix="0" xfId="0"/>
    <xf numFmtId="0" fontId="17" fillId="0" borderId="0" pivotButton="0" quotePrefix="0" xfId="0"/>
    <xf numFmtId="0" fontId="21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26" fillId="0" borderId="0" pivotButton="0" quotePrefix="0" xfId="0"/>
    <xf numFmtId="0" fontId="29" fillId="6" borderId="0" pivotButton="0" quotePrefix="0" xfId="0"/>
    <xf numFmtId="0" fontId="25" fillId="0" borderId="0" pivotButton="0" quotePrefix="0" xfId="0"/>
    <xf numFmtId="0" fontId="15" fillId="8" borderId="0" applyAlignment="1" pivotButton="0" quotePrefix="0" xfId="0">
      <alignment horizontal="center" wrapText="1"/>
    </xf>
    <xf numFmtId="0" fontId="17" fillId="9" borderId="0" pivotButton="0" quotePrefix="0" xfId="0"/>
    <xf numFmtId="0" fontId="15" fillId="8" borderId="0" pivotButton="0" quotePrefix="0" xfId="0"/>
    <xf numFmtId="0" fontId="17" fillId="6" borderId="0" pivotButton="0" quotePrefix="0" xfId="0"/>
    <xf numFmtId="0" fontId="30" fillId="0" borderId="0" pivotButton="0" quotePrefix="0" xfId="0"/>
    <xf numFmtId="0" fontId="21" fillId="8" borderId="0" pivotButton="0" quotePrefix="0" xfId="0"/>
    <xf numFmtId="0" fontId="31" fillId="0" borderId="0" pivotButton="0" quotePrefix="0" xfId="0"/>
    <xf numFmtId="0" fontId="2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Football Field — Implied EV by Method (¥亿)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'Implied Valuation'!B34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'Implied Valuation'!$A$35:$A$39</f>
            </numRef>
          </cat>
          <val>
            <numRef>
              <f>'Implied Valuation'!$B$35:$B$39</f>
            </numRef>
          </val>
        </ser>
        <ser>
          <idx val="1"/>
          <order val="1"/>
          <tx>
            <strRef>
              <f>'Implied Valuation'!H34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'Implied Valuation'!$A$35:$A$39</f>
            </numRef>
          </cat>
          <val>
            <numRef>
              <f>'Implied Valuation'!$H$35:$H$39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¥亿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D7" authorId="0" shapeId="0">
      <text>
        <t>[VETTED]  星图测控: FY24 rev ¥288mm, NI ¥85mm, GM 52.8% (analyst-vetted). EBITDA est ¥100mm (~35%). Mkt cap ~¥14.9bn @ ~¥93 (Apr-26). Net cash ~¥2.07bn post Jan-25 北交所 IPO → negative net debt. FX 7.15. NOTE: 北交所 micro-cap scarcity premium — multiples extreme &amp; not broadly representative.
Source: prior-session web research, analyst-vetted (STCN / 36Kr / company &amp; filing disclosures). Original currency converted at FX on Notes tab.</t>
      </text>
    </comment>
    <comment ref="D8" authorId="0" shapeId="0">
      <text>
        <t>[ESTIMATE — VERIFY]  Kratos: LTM rev ~$1.2bn, EBITDA ~$110mm (~9%). Mkt cap ~$11.3bn reflects 2025 defense/space rally (stock ~3-4x in 2025) — multiples richly elevated &amp; volatile. Roughly net-cash post equity raises.
ESTIMATE — Claude best-knowledge as of Jan-2026 training cutoff. NOT a live data pull. VERIFY against Bloomberg/FactSet/filings before reliance; 2025 space rally made caps highly volatile.</t>
      </text>
    </comment>
    <comment ref="D9" authorId="0" shapeId="0">
      <text>
        <t>[ESTIMATE — VERIFY]  Gilat: LTM rev ~$420mm (Stellar Blu acq. lifted growth), EBITDA ~$55mm (~13%). Mkt cap ~$650mm, net cash ~$60mm. Mature ground-equipment multiple.
ESTIMATE — Claude best-knowledge as of Jan-2026 training cutoff. NOT a live data pull. VERIFY against Bloomberg/FactSet/filings before reliance; 2025 space rally made caps highly volatile.</t>
      </text>
    </comment>
    <comment ref="D10" authorId="0" shapeId="0">
      <text>
        <t>[ESTIMATE — VERIFY]  Comtech: rev ~$500mm declining, thin/!neg earnings, going-concern stress, levered (~$250mm net debt). DISTRESSED — included for completeness but EXCLUDED from core percentile stats (see Notes). P/E n/m.
ESTIMATE — Claude best-knowledge as of Jan-2026 training cutoff. NOT a live data pull. VERIFY against Bloomberg/FactSet/filings before reliance; 2025 space rally made caps highly volatile.</t>
      </text>
    </comment>
    <comment ref="D11" authorId="0" shapeId="0">
      <text>
        <t>[VETTED]  KSAT: PRIVATE (50/50 Space Norway / Kongsberg) — NO market cap, enters as OPERATING / unit-economics benchmark only. Rev annualized ~NOK 2.2bn (~$208mm) off Q1-25 NOK556mm; EBIT margin ~17%; 280+ antennas / 26 sites; backlog NOK5.2bn. FX NOK 10.6.
Source: prior-session web research, analyst-vetted (STCN / 36Kr / company &amp; filing disclosures). Original currency converted at FX on Notes tab.</t>
      </text>
    </comment>
    <comment ref="D13" authorId="0" shapeId="0">
      <text>
        <t>[ESTIMATE — VERIFY]  Iridium: LTM rev ~$830mm, EBITDA ~$465mm (~56% — recurring service). Mkt cap ~$2.9bn, net debt ~$1.5bn.
ESTIMATE — Claude best-knowledge as of Jan-2026 training cutoff. NOT a live data pull. VERIFY against Bloomberg/FactSet/filings before reliance; 2025 space rally made caps highly volatile.</t>
      </text>
    </comment>
    <comment ref="D14" authorId="0" shapeId="0">
      <text>
        <t>[ESTIMATE — VERIFY]  Viasat: LTM rev ~$4.5bn, EBITDA ~$1.5bn (~33%), net loss (heavy D&amp;A/interest → P/E n/m). Heavily levered ~$5.7bn net debt → EV dominated by debt.
ESTIMATE — Claude best-knowledge as of Jan-2026 training cutoff. NOT a live data pull. VERIFY against Bloomberg/FactSet/filings before reliance; 2025 space rally made caps highly volatile.</t>
      </text>
    </comment>
    <comment ref="D15" authorId="0" shapeId="0">
      <text>
        <t>[ESTIMATE — VERIFY]  SES: rev ~€2.0bn (~$2.16bn), EBITDA ~€1.05bn (~52%). Mkt cap ~€3.0bn, net debt ~€3.4bn (pre/around Intelsat combination). FX EUR/USD 1.08.
ESTIMATE — Claude best-knowledge as of Jan-2026 training cutoff. NOT a live data pull. VERIFY against Bloomberg/FactSet/filings before reliance; 2025 space rally made caps highly volatile.</t>
      </text>
    </comment>
    <comment ref="D16" authorId="0" shapeId="0">
      <text>
        <t>[ESTIMATE — VERIFY]  Globalstar: LTM rev ~$250mm, EBITDA ~$130mm (~52%). Mkt cap ~$3.2bn carries large Apple-deal optionality premium vs current sales. Post 1:15 reverse split (2025).
ESTIMATE — Claude best-knowledge as of Jan-2026 training cutoff. NOT a live data pull. VERIFY against Bloomberg/FactSet/filings before reliance; 2025 space rally made caps highly volatile.</t>
      </text>
    </comment>
    <comment ref="D17" authorId="0" shapeId="0">
      <text>
        <t>[ESTIMATE — VERIFY]  Rocket Lab: LTM rev ~$530mm, EBITDA negative (~-$50mm). Mkt cap ~$20bn = extreme 2025 growth/Neutron premium. EXTREME OUTLIER — excluded from core percentile stats. EV/EBITDA &amp; P/E n/m.
ESTIMATE — Claude best-knowledge as of Jan-2026 training cutoff. NOT a live data pull. VERIFY against Bloomberg/FactSet/filings before reliance; 2025 space rally made caps highly volatile.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D6" authorId="0" shapeId="0">
      <text>
        <t>2024 ~240k passes (founder 36Kr interview: 2021 ~20k→2022 ~60k; 'doubling 4 yrs' → 2023 ~120k, 2024 ~240k). 2025E grown modestly off in-orbit base. ESTIMATE.</t>
      </text>
    </comment>
    <comment ref="D7" authorId="0" shapeId="0">
      <text>
        <t>No public price. Cross-check: KSAT ~¥800/pass (incl. premium polar downlink &amp; multi-yr lock). China commercial pricing assumed at/below. ESTIMATE.</t>
      </text>
    </comment>
    <comment ref="D10" authorId="0" shapeId="0">
      <text>
        <t>Supplier to GW &amp; 千帆 gateway/ground stations; 'batch delivery' + capital raises earmarked for ground-infra mass production. Currently likely the largest line during 2024-26 build peak. ESTIMATE.</t>
      </text>
    </comment>
    <comment ref="D12" authorId="0" shapeId="0">
      <text>
        <t>Calibration + nascent data storage/distribution. Strategy-stage; small. ESTIMATE.</t>
      </text>
    </comment>
    <comment ref="D20" authorId="0" shapeId="0">
      <text>
        <t>In-orbit constellation count rises → passes scale. ESTIMATE.</t>
      </text>
    </comment>
    <comment ref="D21" authorId="0" shapeId="0">
      <text>
        <t>Peak gateway/ground build for GW &amp; 千帆. Lumpy. ESTIMATE.</t>
      </text>
    </comment>
    <comment ref="D22" authorId="0" shapeId="0">
      <text>
        <t>航天云 begins to monetize. High uncertainty. ESTIMATE.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D6" authorId="0" shapeId="0">
      <text>
        <t>Service EV/Sales: recurring-infra/operator anchor (Iridium ~5x current sales) + early-stage growth premium. Range 5-12x, base 8x.</t>
      </text>
    </comment>
    <comment ref="D7" authorId="0" shapeId="0">
      <text>
        <t>Equipment EV/Sales: Gilat ~1.4x / Comtech ~0.7x commodity vs Kratos elevated; China strategic-supplier (GW/千帆) premium. Range 2-5x, base 3x.</t>
      </text>
    </comment>
    <comment ref="D8" authorId="0" shapeId="0">
      <text>
        <t>Data EV/Sales: optionality on tiny base. Range 3-6x, base 4x. Low confidence.</t>
      </text>
    </comment>
    <comment ref="B18" authorId="0" shapeId="0">
      <text>
        <t>Discount rate for early-stage commercial-space infra. Adjust. 2.0 yrs from mid-2026 model date to 2027E.</t>
      </text>
    </comment>
    <comment ref="B22" authorId="0" shapeId="0">
      <text>
        <t>60+ ground-station sets (~50 self-built + ~10+ cooperative). Source: 36Kr / company (analyst-vetted).</t>
      </text>
    </comment>
    <comment ref="C22" authorId="0" shapeId="0">
      <text>
        <t>Per-antenna implied value derived from analyst's KSAT EV estimate ¥100-200bn / 280 antennas = ¥0.36-0.71bn ... CORRECTION: ¥0.36-0.71亿 per antenna. KSAT EV itself is an estimate → DOUBLE-ESTIMATE, low confidence. Treat as a sanity band only.</t>
      </text>
    </comment>
    <comment ref="C28" authorId="0" shapeId="0">
      <text>
        <t>D round ~¥6亿 (前海方舟/焦作国资/余姚阳明 etc.). Stake % assumed — VERIFY. Implied post = raise/stake.</t>
      </text>
    </comment>
    <comment ref="C29" authorId="0" shapeId="0">
      <text>
        <t>C+ round ¥4.3亿 (信达/财通/纳爱斯/济钢). Stake % assumed — VERIFY.</t>
      </text>
    </comment>
    <comment ref="B30" authorId="0" shapeId="0">
      <text>
        <t>Widely reported ¥60-70亿 valuation (STCN). Cumulative raised &gt;¥20亿 over 10+ rounds.</t>
      </text>
    </comment>
    <comment ref="B41" authorId="0" shapeId="0">
      <text>
        <t>Judgment: current-sales methods (¥20-46亿) and forward/funding methods (¥54-70亿) bracket fair value. A range that partially credits the GW/千帆 build-out lands ~¥35-55亿. ¥60-70亿 requires fully underwriting the constellation ramp. ADJUSTABLE.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C5" authorId="0" shapeId="0">
      <text>
        <t>60+ station sets (~50 self-built + ~10+ cooperative). Analyst-vetted (36Kr/company).</t>
      </text>
    </comment>
    <comment ref="C6" authorId="0" shapeId="0">
      <text>
        <t>Linked: Target Revenue Build base-case 2025E service line.</t>
      </text>
    </comment>
    <comment ref="C7" authorId="0" shapeId="0">
      <text>
        <t>vs KSAT benchmark ~¥5mm/antenna/yr (¥54mm/site). Below KSAT → utilization headroom.</t>
      </text>
    </comment>
    <comment ref="C11" authorId="0" shapeId="0">
      <text>
        <t>A single multi-band antenna can sequentially track many short LEO passes (~8-12 min each). 40/day assumed; range 30-50. Adjust.</t>
      </text>
    </comment>
    <comment ref="C12" authorId="0" shapeId="0">
      <text>
        <t>Core operating-leverage metric. Low util = large headroom before new capex needed.</t>
      </text>
    </comment>
    <comment ref="C15" authorId="0" shapeId="0">
      <text>
        <t>Antenna + RF + baseband + civil works, multi-band S/X/Ka. ¥10-25mm range. ESTIMATE.</t>
      </text>
    </comment>
    <comment ref="C17" authorId="0" shapeId="0">
      <text>
        <t>After direct site opex (power, comms/backhaul, maintenance, local staff). Pre-corporate, pre-D&amp;A. ESTIMATE.</t>
      </text>
    </comment>
    <comment ref="C26" authorId="0" shapeId="0">
      <text>
        <t>Linked: Target Revenue Build base price/pass.</t>
      </text>
    </comment>
    <comment ref="C27" authorId="0" shapeId="0">
      <text>
        <t>Incremental power, comms bandwidth, wear on an already-built station. Fixed costs excluded. ESTIMATE.</t>
      </text>
    </comment>
    <comment ref="C29" authorId="0" shapeId="0">
      <text>
        <t>The operating-leverage punchline: once the fixed network is built, each additional pass drops ~this % to contribution.</t>
      </text>
    </comment>
    <comment ref="C32" authorId="0" shapeId="0">
      <text>
        <t>ACTIVE (in-service) count, NOT the 500+ cumulative star/rocket figure. 150-250 range. ESTIMATE — key item to confirm in 招股书.</t>
      </text>
    </comment>
    <comment ref="C35" authorId="0" shapeId="0">
      <text>
        <t>LEO smallsat ~3-5 yrs; larger sats 5-8. ESTIMATE.</t>
      </text>
    </comment>
    <comment ref="C36" authorId="0" shapeId="0">
      <text>
        <t>Contribution attributable to a satellite's pass stream. ESTIMATE.</t>
      </text>
    </comment>
    <comment ref="C38" authorId="0" shapeId="0">
      <text>
        <t>For PV of the per-satellite annuity. Adjust.</t>
      </text>
    </comment>
    <comment ref="C40" authorId="0" shapeId="0">
      <text>
        <t>Integration/onboarding engineering per new satellite/customer. Network capex is NOT here — see Section A. ESTIMATE.</t>
      </text>
    </comment>
    <comment ref="C42" authorId="0" shapeId="0">
      <text>
        <t>High — but per-satellite CAC is NOT the binding constraint. The real capital is network capex (Section A station ROIC). Read together.</t>
      </text>
    </comment>
    <comment ref="C45" authorId="0" shapeId="0">
      <text>
        <t>A satellite 'churns' mainly on deorbit/contract end. High through in-orbit life. ESTIMATE.</t>
      </text>
    </comment>
    <comment ref="C46" authorId="0" shapeId="0">
      <text>
        <t>Existing customers (GW/千帆) keep adding satellites → spend expands. NRR analog well &gt;100% during build. ESTIMATE.</t>
      </text>
    </comment>
    <comment ref="C48" authorId="0" shapeId="0">
      <text>
        <t>Currently project-heavy → revenue quality is lumpier today; improves as service mix rises.</t>
      </text>
    </comment>
    <comment ref="C50" authorId="0" shapeId="0">
      <text>
        <t>KSAT backlog NOK5.2bn ≈ 3.7x revenue → strong forward visibility for the model. 航天驭星 backlog undisclosed; shown as the benchmark to watch.</t>
      </text>
    </comment>
    <comment ref="C55" authorId="0" shapeId="0">
      <text>
        <t>Group overhead, R&amp;D, non-station staff (excl. equipment-segment costs). ESTIMATE.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72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2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2" customWidth="1" min="10" max="10"/>
    <col width="11" customWidth="1" min="11" max="11"/>
    <col width="12" customWidth="1" min="12" max="12"/>
    <col width="10" customWidth="1" min="13" max="13"/>
    <col width="10" customWidth="1" min="14" max="14"/>
    <col width="9" customWidth="1" min="15" max="15"/>
  </cols>
  <sheetData>
    <row r="1" ht="26" customHeight="1">
      <c r="A1" s="1" t="inlineStr">
        <is>
          <t>北京航天驭星科技 (AEROSPACE YUXING) — COMPARABLE COMPANY ANALYSIS</t>
        </is>
      </c>
    </row>
    <row r="2" ht="28" customHeight="1">
      <c r="A2" s="2" t="inlineStr">
        <is>
          <t>Ground segment: 星图测控 (920116.BJ) · Kratos (KTOS) · Gilat (GILT) · Comtech (CMTL) · KSAT (private)   |   Satellite operators / broad space: Iridium (IRDM) · Viasat (VSAT) · SES (SESG.PA) · Globalstar (GSAT) · Rocket Lab (RKLB)</t>
        </is>
      </c>
    </row>
    <row r="3">
      <c r="A3" s="3" t="inlineStr">
        <is>
          <t>Model date: 13-Jun-2026  |  Figures USD millions except ratios &amp; per-share  |  LTM / latest FY  |  BLUE = hardcoded input (see cell comment for source/confidence) · BLACK = formula</t>
        </is>
      </c>
    </row>
    <row r="5" ht="42" customHeight="1">
      <c r="A5" s="4" t="inlineStr">
        <is>
          <t>Company</t>
        </is>
      </c>
      <c r="B5" s="4" t="inlineStr">
        <is>
          <t>Ticker / Status</t>
        </is>
      </c>
      <c r="C5" s="4" t="inlineStr">
        <is>
          <t>Tier</t>
        </is>
      </c>
      <c r="D5" s="4" t="inlineStr">
        <is>
          <t>Revenue
(LTM, $mm)</t>
        </is>
      </c>
      <c r="E5" s="4" t="inlineStr">
        <is>
          <t>Rev Growth
YoY %</t>
        </is>
      </c>
      <c r="F5" s="4" t="inlineStr">
        <is>
          <t>Gross
Margin %</t>
        </is>
      </c>
      <c r="G5" s="4" t="inlineStr">
        <is>
          <t>EBITDA
($mm)</t>
        </is>
      </c>
      <c r="H5" s="4" t="inlineStr">
        <is>
          <t>EBITDA
Margin %</t>
        </is>
      </c>
      <c r="I5" s="4" t="inlineStr">
        <is>
          <t>Net Income
($mm)</t>
        </is>
      </c>
      <c r="J5" s="4" t="inlineStr">
        <is>
          <t>Market Cap
($mm)</t>
        </is>
      </c>
      <c r="K5" s="4" t="inlineStr">
        <is>
          <t>Net Debt
($mm)</t>
        </is>
      </c>
      <c r="L5" s="4" t="inlineStr">
        <is>
          <t>Enterprise
Value ($mm)</t>
        </is>
      </c>
      <c r="M5" s="4" t="inlineStr">
        <is>
          <t>EV /
Revenue</t>
        </is>
      </c>
      <c r="N5" s="4" t="inlineStr">
        <is>
          <t>EV /
EBITDA</t>
        </is>
      </c>
      <c r="O5" s="4" t="inlineStr">
        <is>
          <t>P / E</t>
        </is>
      </c>
    </row>
    <row r="6">
      <c r="A6" s="5" t="inlineStr">
        <is>
          <t>GROUND SEGMENT  —  TT&amp;C-as-a-service + ground-station / antenna / modem equipment  (maps to 航天驭星 Segments 1 &amp; 2)</t>
        </is>
      </c>
    </row>
    <row r="7">
      <c r="A7" s="7" t="inlineStr">
        <is>
          <t>星图测控 (STAR.VISION)</t>
        </is>
      </c>
      <c r="B7" s="8" t="inlineStr">
        <is>
          <t>920116.BJ</t>
        </is>
      </c>
      <c r="C7" s="8" t="inlineStr">
        <is>
          <t>Ground</t>
        </is>
      </c>
      <c r="D7" s="9" t="n">
        <v>40.3</v>
      </c>
      <c r="E7" s="10" t="n">
        <v>0.258</v>
      </c>
      <c r="F7" s="10" t="n">
        <v>0.528</v>
      </c>
      <c r="G7" s="9" t="n">
        <v>14</v>
      </c>
      <c r="H7" s="11">
        <f>IF(D7=0,"",G7/D7)</f>
        <v/>
      </c>
      <c r="I7" s="9" t="n">
        <v>11.9</v>
      </c>
      <c r="J7" s="9" t="n">
        <v>2084</v>
      </c>
      <c r="K7" s="9" t="n">
        <v>-290</v>
      </c>
      <c r="L7" s="12">
        <f>J7+K7</f>
        <v/>
      </c>
      <c r="M7" s="13">
        <f>IF(D7=0,"",L7/D7)</f>
        <v/>
      </c>
      <c r="N7" s="13">
        <f>IF(G7&gt;0,L7/G7,"n/m")</f>
        <v/>
      </c>
      <c r="O7" s="13">
        <f>IF(I7&gt;0,J7/I7,"n/m")</f>
        <v/>
      </c>
    </row>
    <row r="8">
      <c r="A8" s="7" t="inlineStr">
        <is>
          <t>Kratos Defense</t>
        </is>
      </c>
      <c r="B8" s="8" t="inlineStr">
        <is>
          <t>KTOS</t>
        </is>
      </c>
      <c r="C8" s="8" t="inlineStr">
        <is>
          <t>Ground</t>
        </is>
      </c>
      <c r="D8" s="9" t="n">
        <v>1200</v>
      </c>
      <c r="E8" s="10" t="n">
        <v>0.1</v>
      </c>
      <c r="F8" s="10" t="n">
        <v>0.25</v>
      </c>
      <c r="G8" s="9" t="n">
        <v>110</v>
      </c>
      <c r="H8" s="11">
        <f>IF(D8=0,"",G8/D8)</f>
        <v/>
      </c>
      <c r="I8" s="9" t="n">
        <v>40</v>
      </c>
      <c r="J8" s="9" t="n">
        <v>11300</v>
      </c>
      <c r="K8" s="9" t="n">
        <v>-100</v>
      </c>
      <c r="L8" s="12">
        <f>J8+K8</f>
        <v/>
      </c>
      <c r="M8" s="13">
        <f>IF(D8=0,"",L8/D8)</f>
        <v/>
      </c>
      <c r="N8" s="13">
        <f>IF(G8&gt;0,L8/G8,"n/m")</f>
        <v/>
      </c>
      <c r="O8" s="13">
        <f>IF(I8&gt;0,J8/I8,"n/m")</f>
        <v/>
      </c>
    </row>
    <row r="9">
      <c r="A9" s="7" t="inlineStr">
        <is>
          <t>Gilat Satellite Networks</t>
        </is>
      </c>
      <c r="B9" s="8" t="inlineStr">
        <is>
          <t>GILT</t>
        </is>
      </c>
      <c r="C9" s="8" t="inlineStr">
        <is>
          <t>Ground</t>
        </is>
      </c>
      <c r="D9" s="9" t="n">
        <v>420</v>
      </c>
      <c r="E9" s="10" t="n">
        <v>0.35</v>
      </c>
      <c r="F9" s="10" t="n">
        <v>0.35</v>
      </c>
      <c r="G9" s="9" t="n">
        <v>55</v>
      </c>
      <c r="H9" s="11">
        <f>IF(D9=0,"",G9/D9)</f>
        <v/>
      </c>
      <c r="I9" s="9" t="n">
        <v>25</v>
      </c>
      <c r="J9" s="9" t="n">
        <v>650</v>
      </c>
      <c r="K9" s="9" t="n">
        <v>-60</v>
      </c>
      <c r="L9" s="12">
        <f>J9+K9</f>
        <v/>
      </c>
      <c r="M9" s="13">
        <f>IF(D9=0,"",L9/D9)</f>
        <v/>
      </c>
      <c r="N9" s="13">
        <f>IF(G9&gt;0,L9/G9,"n/m")</f>
        <v/>
      </c>
      <c r="O9" s="13">
        <f>IF(I9&gt;0,J9/I9,"n/m")</f>
        <v/>
      </c>
    </row>
    <row r="10">
      <c r="A10" s="7" t="inlineStr">
        <is>
          <t>Comtech Telecom</t>
        </is>
      </c>
      <c r="B10" s="8" t="inlineStr">
        <is>
          <t>CMTL</t>
        </is>
      </c>
      <c r="C10" s="8" t="inlineStr">
        <is>
          <t>Ground (distressed)</t>
        </is>
      </c>
      <c r="D10" s="9" t="n">
        <v>500</v>
      </c>
      <c r="E10" s="10" t="n">
        <v>-0.1</v>
      </c>
      <c r="F10" s="10" t="n">
        <v>0.3</v>
      </c>
      <c r="G10" s="9" t="n">
        <v>20</v>
      </c>
      <c r="H10" s="11">
        <f>IF(D10=0,"",G10/D10)</f>
        <v/>
      </c>
      <c r="I10" s="9" t="n">
        <v>-30</v>
      </c>
      <c r="J10" s="9" t="n">
        <v>120</v>
      </c>
      <c r="K10" s="9" t="n">
        <v>250</v>
      </c>
      <c r="L10" s="12">
        <f>J10+K10</f>
        <v/>
      </c>
      <c r="M10" s="13">
        <f>IF(D10=0,"",L10/D10)</f>
        <v/>
      </c>
      <c r="N10" s="13">
        <f>IF(G10&gt;0,L10/G10,"n/m")</f>
        <v/>
      </c>
      <c r="O10" s="14" t="inlineStr">
        <is>
          <t>n/m</t>
        </is>
      </c>
    </row>
    <row r="11">
      <c r="A11" s="7" t="inlineStr">
        <is>
          <t>KSAT (Kongsberg Sat. Svcs)</t>
        </is>
      </c>
      <c r="B11" s="8" t="inlineStr">
        <is>
          <t>Private</t>
        </is>
      </c>
      <c r="C11" s="8" t="inlineStr">
        <is>
          <t>Ground (ops only)</t>
        </is>
      </c>
      <c r="D11" s="9" t="n">
        <v>208</v>
      </c>
      <c r="E11" s="10" t="n">
        <v>0.3</v>
      </c>
      <c r="F11" s="14" t="inlineStr">
        <is>
          <t>n/a</t>
        </is>
      </c>
      <c r="G11" s="9" t="n">
        <v>35</v>
      </c>
      <c r="H11" s="11">
        <f>IF(D11=0,"",G11/D11)</f>
        <v/>
      </c>
      <c r="I11" s="14" t="inlineStr">
        <is>
          <t>n/a</t>
        </is>
      </c>
      <c r="J11" s="14" t="inlineStr">
        <is>
          <t>—</t>
        </is>
      </c>
      <c r="K11" s="14" t="inlineStr">
        <is>
          <t>—</t>
        </is>
      </c>
      <c r="L11" s="14" t="inlineStr">
        <is>
          <t>—</t>
        </is>
      </c>
      <c r="M11" s="14" t="inlineStr">
        <is>
          <t>—</t>
        </is>
      </c>
      <c r="N11" s="14" t="inlineStr">
        <is>
          <t>—</t>
        </is>
      </c>
      <c r="O11" s="14" t="inlineStr">
        <is>
          <t>—</t>
        </is>
      </c>
    </row>
    <row r="12">
      <c r="A12" s="5" t="inlineStr">
        <is>
          <t>SATELLITE OPERATORS / BROAD SPACE  —  demand-side context &amp; 'space premium' band  (vertically integrated → sanity band, not pure comps)</t>
        </is>
      </c>
    </row>
    <row r="13">
      <c r="A13" s="7" t="inlineStr">
        <is>
          <t>Iridium Communications</t>
        </is>
      </c>
      <c r="B13" s="8" t="inlineStr">
        <is>
          <t>IRDM</t>
        </is>
      </c>
      <c r="C13" s="8" t="inlineStr">
        <is>
          <t>Operator</t>
        </is>
      </c>
      <c r="D13" s="9" t="n">
        <v>830</v>
      </c>
      <c r="E13" s="10" t="n">
        <v>0.05</v>
      </c>
      <c r="F13" s="10" t="n">
        <v>0.7</v>
      </c>
      <c r="G13" s="9" t="n">
        <v>465</v>
      </c>
      <c r="H13" s="11">
        <f>IF(D13=0,"",G13/D13)</f>
        <v/>
      </c>
      <c r="I13" s="9" t="n">
        <v>110</v>
      </c>
      <c r="J13" s="9" t="n">
        <v>2900</v>
      </c>
      <c r="K13" s="9" t="n">
        <v>1500</v>
      </c>
      <c r="L13" s="12">
        <f>J13+K13</f>
        <v/>
      </c>
      <c r="M13" s="13">
        <f>IF(D13=0,"",L13/D13)</f>
        <v/>
      </c>
      <c r="N13" s="13">
        <f>IF(G13&gt;0,L13/G13,"n/m")</f>
        <v/>
      </c>
      <c r="O13" s="13">
        <f>IF(I13&gt;0,J13/I13,"n/m")</f>
        <v/>
      </c>
    </row>
    <row r="14">
      <c r="A14" s="7" t="inlineStr">
        <is>
          <t>Viasat</t>
        </is>
      </c>
      <c r="B14" s="8" t="inlineStr">
        <is>
          <t>VSAT</t>
        </is>
      </c>
      <c r="C14" s="8" t="inlineStr">
        <is>
          <t>Operator</t>
        </is>
      </c>
      <c r="D14" s="9" t="n">
        <v>4500</v>
      </c>
      <c r="E14" s="10" t="n">
        <v>0.03</v>
      </c>
      <c r="F14" s="10" t="n">
        <v>0.35</v>
      </c>
      <c r="G14" s="9" t="n">
        <v>1500</v>
      </c>
      <c r="H14" s="11">
        <f>IF(D14=0,"",G14/D14)</f>
        <v/>
      </c>
      <c r="I14" s="9" t="n">
        <v>-120</v>
      </c>
      <c r="J14" s="9" t="n">
        <v>3800</v>
      </c>
      <c r="K14" s="9" t="n">
        <v>5700</v>
      </c>
      <c r="L14" s="12">
        <f>J14+K14</f>
        <v/>
      </c>
      <c r="M14" s="13">
        <f>IF(D14=0,"",L14/D14)</f>
        <v/>
      </c>
      <c r="N14" s="13">
        <f>IF(G14&gt;0,L14/G14,"n/m")</f>
        <v/>
      </c>
      <c r="O14" s="14" t="inlineStr">
        <is>
          <t>n/m</t>
        </is>
      </c>
    </row>
    <row r="15">
      <c r="A15" s="7" t="inlineStr">
        <is>
          <t>SES S.A.</t>
        </is>
      </c>
      <c r="B15" s="8" t="inlineStr">
        <is>
          <t>SESG.PA</t>
        </is>
      </c>
      <c r="C15" s="8" t="inlineStr">
        <is>
          <t>Operator</t>
        </is>
      </c>
      <c r="D15" s="9" t="n">
        <v>2160</v>
      </c>
      <c r="E15" s="10" t="n">
        <v>-0.02</v>
      </c>
      <c r="F15" s="14" t="inlineStr">
        <is>
          <t>n/a</t>
        </is>
      </c>
      <c r="G15" s="9" t="n">
        <v>1134</v>
      </c>
      <c r="H15" s="11">
        <f>IF(D15=0,"",G15/D15)</f>
        <v/>
      </c>
      <c r="I15" s="9" t="n">
        <v>90</v>
      </c>
      <c r="J15" s="9" t="n">
        <v>3240</v>
      </c>
      <c r="K15" s="9" t="n">
        <v>3400</v>
      </c>
      <c r="L15" s="12">
        <f>J15+K15</f>
        <v/>
      </c>
      <c r="M15" s="13">
        <f>IF(D15=0,"",L15/D15)</f>
        <v/>
      </c>
      <c r="N15" s="13">
        <f>IF(G15&gt;0,L15/G15,"n/m")</f>
        <v/>
      </c>
      <c r="O15" s="13">
        <f>IF(I15&gt;0,J15/I15,"n/m")</f>
        <v/>
      </c>
    </row>
    <row r="16">
      <c r="A16" s="7" t="inlineStr">
        <is>
          <t>Globalstar</t>
        </is>
      </c>
      <c r="B16" s="8" t="inlineStr">
        <is>
          <t>GSAT</t>
        </is>
      </c>
      <c r="C16" s="8" t="inlineStr">
        <is>
          <t>Operator</t>
        </is>
      </c>
      <c r="D16" s="9" t="n">
        <v>250</v>
      </c>
      <c r="E16" s="10" t="n">
        <v>0.2</v>
      </c>
      <c r="F16" s="10" t="n">
        <v>0.65</v>
      </c>
      <c r="G16" s="9" t="n">
        <v>130</v>
      </c>
      <c r="H16" s="11">
        <f>IF(D16=0,"",G16/D16)</f>
        <v/>
      </c>
      <c r="I16" s="9" t="n">
        <v>5</v>
      </c>
      <c r="J16" s="9" t="n">
        <v>3200</v>
      </c>
      <c r="K16" s="9" t="n">
        <v>300</v>
      </c>
      <c r="L16" s="12">
        <f>J16+K16</f>
        <v/>
      </c>
      <c r="M16" s="13">
        <f>IF(D16=0,"",L16/D16)</f>
        <v/>
      </c>
      <c r="N16" s="13">
        <f>IF(G16&gt;0,L16/G16,"n/m")</f>
        <v/>
      </c>
      <c r="O16" s="13">
        <f>IF(I16&gt;0,J16/I16,"n/m")</f>
        <v/>
      </c>
    </row>
    <row r="17">
      <c r="A17" s="7" t="inlineStr">
        <is>
          <t>Rocket Lab</t>
        </is>
      </c>
      <c r="B17" s="8" t="inlineStr">
        <is>
          <t>RKLB</t>
        </is>
      </c>
      <c r="C17" s="8" t="inlineStr">
        <is>
          <t>Operator (growth)</t>
        </is>
      </c>
      <c r="D17" s="9" t="n">
        <v>530</v>
      </c>
      <c r="E17" s="10" t="n">
        <v>0.3</v>
      </c>
      <c r="F17" s="10" t="n">
        <v>0.28</v>
      </c>
      <c r="G17" s="9" t="n">
        <v>-50</v>
      </c>
      <c r="H17" s="11">
        <f>IF(D17=0,"",G17/D17)</f>
        <v/>
      </c>
      <c r="I17" s="9" t="n">
        <v>-90</v>
      </c>
      <c r="J17" s="9" t="n">
        <v>20000</v>
      </c>
      <c r="K17" s="9" t="n">
        <v>-400</v>
      </c>
      <c r="L17" s="12">
        <f>J17+K17</f>
        <v/>
      </c>
      <c r="M17" s="13">
        <f>IF(D17=0,"",L17/D17)</f>
        <v/>
      </c>
      <c r="N17" s="13">
        <f>IF(G17&gt;0,L17/G17,"n/m")</f>
        <v/>
      </c>
      <c r="O17" s="14" t="inlineStr">
        <is>
          <t>n/m</t>
        </is>
      </c>
    </row>
    <row r="19" ht="6" customHeight="1">
      <c r="A19" s="7" t="inlineStr">
        <is>
          <t>SECTOR STATISTICS</t>
        </is>
      </c>
    </row>
    <row r="20">
      <c r="A20" s="15" t="inlineStr">
        <is>
          <t>Maximum</t>
        </is>
      </c>
      <c r="B20" s="16" t="n"/>
      <c r="C20" s="16" t="n"/>
      <c r="D20" s="16" t="n"/>
      <c r="E20" s="17">
        <f>MAX(E7:E17)</f>
        <v/>
      </c>
      <c r="F20" s="17">
        <f>MAX(F7:F17)</f>
        <v/>
      </c>
      <c r="G20" s="16" t="n"/>
      <c r="H20" s="17">
        <f>MAX(H7:H17)</f>
        <v/>
      </c>
      <c r="I20" s="16" t="n"/>
      <c r="J20" s="16" t="n"/>
      <c r="K20" s="16" t="n"/>
      <c r="L20" s="16" t="n"/>
      <c r="M20" s="18">
        <f>MAX(M7:M17)</f>
        <v/>
      </c>
      <c r="N20" s="18">
        <f>MAX(N7:N17)</f>
        <v/>
      </c>
      <c r="O20" s="18">
        <f>MAX(O7:O17)</f>
        <v/>
      </c>
    </row>
    <row r="21">
      <c r="A21" s="15" t="inlineStr">
        <is>
          <t>75th percentile</t>
        </is>
      </c>
      <c r="B21" s="16" t="n"/>
      <c r="C21" s="16" t="n"/>
      <c r="D21" s="16" t="n"/>
      <c r="E21" s="17">
        <f>QUARTILE(E7:E17,3)</f>
        <v/>
      </c>
      <c r="F21" s="17">
        <f>QUARTILE(F7:F17,3)</f>
        <v/>
      </c>
      <c r="G21" s="16" t="n"/>
      <c r="H21" s="17">
        <f>QUARTILE(H7:H17,3)</f>
        <v/>
      </c>
      <c r="I21" s="16" t="n"/>
      <c r="J21" s="16" t="n"/>
      <c r="K21" s="16" t="n"/>
      <c r="L21" s="16" t="n"/>
      <c r="M21" s="18">
        <f>QUARTILE(M7:M17,3)</f>
        <v/>
      </c>
      <c r="N21" s="18">
        <f>QUARTILE(N7:N17,3)</f>
        <v/>
      </c>
      <c r="O21" s="18">
        <f>QUARTILE(O7:O17,3)</f>
        <v/>
      </c>
    </row>
    <row r="22">
      <c r="A22" s="15" t="inlineStr">
        <is>
          <t>Median (all w/ data)</t>
        </is>
      </c>
      <c r="B22" s="16" t="n"/>
      <c r="C22" s="16" t="n"/>
      <c r="D22" s="16" t="n"/>
      <c r="E22" s="17">
        <f>MEDIAN(E7:E17)</f>
        <v/>
      </c>
      <c r="F22" s="17">
        <f>MEDIAN(F7:F17)</f>
        <v/>
      </c>
      <c r="G22" s="16" t="n"/>
      <c r="H22" s="17">
        <f>MEDIAN(H7:H17)</f>
        <v/>
      </c>
      <c r="I22" s="16" t="n"/>
      <c r="J22" s="16" t="n"/>
      <c r="K22" s="16" t="n"/>
      <c r="L22" s="16" t="n"/>
      <c r="M22" s="18">
        <f>MEDIAN(M7:M17)</f>
        <v/>
      </c>
      <c r="N22" s="18">
        <f>MEDIAN(N7:N17)</f>
        <v/>
      </c>
      <c r="O22" s="18">
        <f>MEDIAN(O7:O17)</f>
        <v/>
      </c>
    </row>
    <row r="23">
      <c r="A23" s="15" t="inlineStr">
        <is>
          <t>25th percentile</t>
        </is>
      </c>
      <c r="B23" s="16" t="n"/>
      <c r="C23" s="16" t="n"/>
      <c r="D23" s="16" t="n"/>
      <c r="E23" s="17">
        <f>QUARTILE(E7:E17,1)</f>
        <v/>
      </c>
      <c r="F23" s="17">
        <f>QUARTILE(F7:F17,1)</f>
        <v/>
      </c>
      <c r="G23" s="16" t="n"/>
      <c r="H23" s="17">
        <f>QUARTILE(H7:H17,1)</f>
        <v/>
      </c>
      <c r="I23" s="16" t="n"/>
      <c r="J23" s="16" t="n"/>
      <c r="K23" s="16" t="n"/>
      <c r="L23" s="16" t="n"/>
      <c r="M23" s="18">
        <f>QUARTILE(M7:M17,1)</f>
        <v/>
      </c>
      <c r="N23" s="18">
        <f>QUARTILE(N7:N17,1)</f>
        <v/>
      </c>
      <c r="O23" s="18">
        <f>QUARTILE(O7:O17,1)</f>
        <v/>
      </c>
    </row>
    <row r="24">
      <c r="A24" s="15" t="inlineStr">
        <is>
          <t>Minimum</t>
        </is>
      </c>
      <c r="B24" s="16" t="n"/>
      <c r="C24" s="16" t="n"/>
      <c r="D24" s="16" t="n"/>
      <c r="E24" s="17">
        <f>MIN(E7:E17)</f>
        <v/>
      </c>
      <c r="F24" s="17">
        <f>MIN(F7:F17)</f>
        <v/>
      </c>
      <c r="G24" s="16" t="n"/>
      <c r="H24" s="17">
        <f>MIN(H7:H17)</f>
        <v/>
      </c>
      <c r="I24" s="16" t="n"/>
      <c r="J24" s="16" t="n"/>
      <c r="K24" s="16" t="n"/>
      <c r="L24" s="16" t="n"/>
      <c r="M24" s="18">
        <f>MIN(M7:M17)</f>
        <v/>
      </c>
      <c r="N24" s="18">
        <f>MIN(N7:N17)</f>
        <v/>
      </c>
      <c r="O24" s="18">
        <f>MIN(O7:O17)</f>
        <v/>
      </c>
    </row>
    <row r="25">
      <c r="A25" s="15" t="inlineStr">
        <is>
          <t>Mean</t>
        </is>
      </c>
      <c r="B25" s="16" t="n"/>
      <c r="C25" s="16" t="n"/>
      <c r="D25" s="16" t="n"/>
      <c r="E25" s="17">
        <f>AVERAGE(E7:E17)</f>
        <v/>
      </c>
      <c r="F25" s="17">
        <f>AVERAGE(F7:F17)</f>
        <v/>
      </c>
      <c r="G25" s="16" t="n"/>
      <c r="H25" s="17">
        <f>AVERAGE(H7:H17)</f>
        <v/>
      </c>
      <c r="I25" s="16" t="n"/>
      <c r="J25" s="16" t="n"/>
      <c r="K25" s="16" t="n"/>
      <c r="L25" s="16" t="n"/>
      <c r="M25" s="18">
        <f>AVERAGE(M7:M17)</f>
        <v/>
      </c>
      <c r="N25" s="18">
        <f>AVERAGE(N7:N17)</f>
        <v/>
      </c>
      <c r="O25" s="18">
        <f>AVERAGE(O7:O17)</f>
        <v/>
      </c>
    </row>
    <row r="27">
      <c r="A27" s="15" t="inlineStr">
        <is>
          <t>Median — Ground only (R7:R11)</t>
        </is>
      </c>
      <c r="B27" s="16" t="n"/>
      <c r="C27" s="16" t="n"/>
      <c r="D27" s="16" t="n"/>
      <c r="E27" s="17">
        <f>MEDIAN(E7:E11)</f>
        <v/>
      </c>
      <c r="F27" s="17">
        <f>MEDIAN(F7:F11)</f>
        <v/>
      </c>
      <c r="G27" s="16" t="n"/>
      <c r="H27" s="17">
        <f>MEDIAN(H7:H11)</f>
        <v/>
      </c>
      <c r="I27" s="16" t="n"/>
      <c r="J27" s="16" t="n"/>
      <c r="K27" s="16" t="n"/>
      <c r="L27" s="16" t="n"/>
      <c r="M27" s="18">
        <f>MEDIAN(M7:M11)</f>
        <v/>
      </c>
      <c r="N27" s="18">
        <f>MEDIAN(N7:N11)</f>
        <v/>
      </c>
      <c r="O27" s="18">
        <f>MEDIAN(O7:O11)</f>
        <v/>
      </c>
    </row>
    <row r="28">
      <c r="A28" s="15" t="inlineStr">
        <is>
          <t>Median — Operators only (R13:R17)</t>
        </is>
      </c>
      <c r="B28" s="16" t="n"/>
      <c r="C28" s="16" t="n"/>
      <c r="D28" s="16" t="n"/>
      <c r="E28" s="17">
        <f>MEDIAN(E13:E17)</f>
        <v/>
      </c>
      <c r="F28" s="17">
        <f>MEDIAN(F13:F17)</f>
        <v/>
      </c>
      <c r="G28" s="16" t="n"/>
      <c r="H28" s="17">
        <f>MEDIAN(H13:H17)</f>
        <v/>
      </c>
      <c r="I28" s="16" t="n"/>
      <c r="J28" s="16" t="n"/>
      <c r="K28" s="16" t="n"/>
      <c r="L28" s="16" t="n"/>
      <c r="M28" s="18">
        <f>MEDIAN(M13:M17)</f>
        <v/>
      </c>
      <c r="N28" s="18">
        <f>MEDIAN(N13:N17)</f>
        <v/>
      </c>
      <c r="O28" s="18">
        <f>MEDIAN(O13:O17)</f>
        <v/>
      </c>
    </row>
    <row r="30" ht="30" customHeight="1">
      <c r="A30" s="19" t="inlineStr">
        <is>
          <t>⚠ Stats note: Comtech (distressed) &amp; Rocket Lab (extreme growth premium) distort percentiles — read them with the ground/operator sub-medians and the Notes tab caveats. KSAT carries no market cap (operating benchmark only).</t>
        </is>
      </c>
    </row>
  </sheetData>
  <mergeCells count="6">
    <mergeCell ref="A12:O12"/>
    <mergeCell ref="A2:O2"/>
    <mergeCell ref="A1:O1"/>
    <mergeCell ref="A6:O6"/>
    <mergeCell ref="A3:O3"/>
    <mergeCell ref="A30:O3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 ht="24" customHeight="1">
      <c r="A1" s="1" t="inlineStr">
        <is>
          <t>航天驭星 — SEGMENT REVENUE ESTIMATE  (bottom-up, ¥ millions)</t>
        </is>
      </c>
    </row>
    <row r="2">
      <c r="A2" s="20" t="inlineStr">
        <is>
          <t>No disclosed financials (pre-IPO, tutoring filing 05-Jun-2026). Triangulated from public volume hints. ALL figures = ESTIMATES.</t>
        </is>
      </c>
    </row>
    <row r="4" ht="42" customHeight="1">
      <c r="A4" s="4" t="inlineStr">
        <is>
          <t>Driver / Segment</t>
        </is>
      </c>
      <c r="B4" s="4" t="inlineStr">
        <is>
          <t>Unit</t>
        </is>
      </c>
      <c r="C4" s="4" t="inlineStr">
        <is>
          <t>Low</t>
        </is>
      </c>
      <c r="D4" s="4" t="inlineStr">
        <is>
          <t>Base</t>
        </is>
      </c>
      <c r="E4" s="4" t="inlineStr">
        <is>
          <t>High</t>
        </is>
      </c>
    </row>
    <row r="5">
      <c r="A5" s="5" t="inlineStr">
        <is>
          <t>TT&amp;C SERVICE LINE  (recurring, KSAT-like)</t>
        </is>
      </c>
    </row>
    <row r="6">
      <c r="A6" s="21" t="inlineStr">
        <is>
          <t>TT&amp;C passes 2025E</t>
        </is>
      </c>
      <c r="B6" s="22" t="inlineStr">
        <is>
          <t>k 轨次</t>
        </is>
      </c>
      <c r="C6" s="9" t="n">
        <v>400</v>
      </c>
      <c r="D6" s="9" t="n">
        <v>480</v>
      </c>
      <c r="E6" s="9" t="n">
        <v>600</v>
      </c>
      <c r="F6" s="91" t="inlineStr">
        <is>
          <t>← 翻倍外推: 2022实际6万(36Kr) → 12万 → 24万 → 48万</t>
        </is>
      </c>
    </row>
    <row r="7">
      <c r="A7" s="21" t="inlineStr">
        <is>
          <t>Revenue per pass</t>
        </is>
      </c>
      <c r="B7" s="22" t="inlineStr">
        <is>
          <t>¥</t>
        </is>
      </c>
      <c r="C7" s="9" t="n">
        <v>500</v>
      </c>
      <c r="D7" s="9" t="n">
        <v>750</v>
      </c>
      <c r="E7" s="9" t="n">
        <v>1000</v>
      </c>
      <c r="F7" s="82" t="inlineStr">
        <is>
          <t>← Benchmarked: see "Intl Pricing Benchmarks" tab</t>
        </is>
      </c>
    </row>
    <row r="8">
      <c r="A8" s="21" t="inlineStr">
        <is>
          <t>Service revenue</t>
        </is>
      </c>
      <c r="B8" s="22" t="inlineStr">
        <is>
          <t>¥mm</t>
        </is>
      </c>
      <c r="C8" s="12">
        <f>C6*C7/1000</f>
        <v/>
      </c>
      <c r="D8" s="12">
        <f>D6*D7/1000</f>
        <v/>
      </c>
      <c r="E8" s="23">
        <f>E6*E7/1000</f>
        <v/>
      </c>
    </row>
    <row r="9">
      <c r="A9" s="5" t="inlineStr">
        <is>
          <t>GROUND-STATION EQUIPMENT LINE  (project-based, Kratos/Gilat-like)</t>
        </is>
      </c>
    </row>
    <row r="10">
      <c r="A10" s="21" t="inlineStr">
        <is>
          <t>Equipment revenue 2025E</t>
        </is>
      </c>
      <c r="B10" s="22" t="inlineStr">
        <is>
          <t>¥mm</t>
        </is>
      </c>
      <c r="C10" s="9" t="n">
        <v>200</v>
      </c>
      <c r="D10" s="9" t="n">
        <v>300</v>
      </c>
      <c r="E10" s="9" t="n">
        <v>450</v>
      </c>
    </row>
    <row r="11">
      <c r="A11" s="5" t="inlineStr">
        <is>
          <t>'航天云' DATA LINE  (early-stage / optionality)</t>
        </is>
      </c>
    </row>
    <row r="12">
      <c r="A12" s="21" t="inlineStr">
        <is>
          <t>Data revenue 2025E</t>
        </is>
      </c>
      <c r="B12" s="22" t="inlineStr">
        <is>
          <t>¥mm</t>
        </is>
      </c>
      <c r="C12" s="9" t="n">
        <v>20</v>
      </c>
      <c r="D12" s="9" t="n">
        <v>40</v>
      </c>
      <c r="E12" s="9" t="n">
        <v>80</v>
      </c>
    </row>
    <row r="14">
      <c r="A14" s="15" t="inlineStr">
        <is>
          <t>TOTAL 2025E REVENUE</t>
        </is>
      </c>
      <c r="B14" s="16" t="n"/>
      <c r="C14" s="24">
        <f>C8+C10+C12</f>
        <v/>
      </c>
      <c r="D14" s="24">
        <f>D8+D10+D12</f>
        <v/>
      </c>
      <c r="E14" s="24">
        <f>E8+E10+E12</f>
        <v/>
      </c>
    </row>
    <row r="15">
      <c r="A15" s="25" t="inlineStr">
        <is>
          <t xml:space="preserve">  Service mix %</t>
        </is>
      </c>
      <c r="C15" s="11">
        <f>C8/C14</f>
        <v/>
      </c>
      <c r="D15" s="11">
        <f>D8/D14</f>
        <v/>
      </c>
      <c r="E15" s="11">
        <f>E8/E14</f>
        <v/>
      </c>
    </row>
    <row r="16">
      <c r="A16" s="25" t="inlineStr">
        <is>
          <t xml:space="preserve">  Equipment mix %</t>
        </is>
      </c>
      <c r="C16" s="11">
        <f>C10/C14</f>
        <v/>
      </c>
      <c r="D16" s="11">
        <f>D10/D14</f>
        <v/>
      </c>
      <c r="E16" s="11">
        <f>E10/E14</f>
        <v/>
      </c>
    </row>
    <row r="17">
      <c r="A17" s="25" t="inlineStr">
        <is>
          <t xml:space="preserve">  Data mix %</t>
        </is>
      </c>
      <c r="C17" s="11">
        <f>C12/C14</f>
        <v/>
      </c>
      <c r="D17" s="11">
        <f>D12/D14</f>
        <v/>
      </c>
      <c r="E17" s="11">
        <f>E12/E14</f>
        <v/>
      </c>
    </row>
    <row r="19">
      <c r="A19" s="5" t="inlineStr">
        <is>
          <t>FORWARD 2027E REVENUE  (GW / 千帆 build → operate inflection)</t>
        </is>
      </c>
    </row>
    <row r="20">
      <c r="A20" s="21" t="inlineStr">
        <is>
          <t>Service revenue 2027E</t>
        </is>
      </c>
      <c r="B20" s="22" t="inlineStr">
        <is>
          <t>¥mm</t>
        </is>
      </c>
      <c r="C20" s="9" t="n">
        <v>600</v>
      </c>
      <c r="D20" s="9" t="n">
        <v>900</v>
      </c>
      <c r="E20" s="9" t="n">
        <v>1400</v>
      </c>
      <c r="F20" s="91" t="inlineStr">
        <is>
          <t>← 轨次量持续增长 + GW/千帆星座全面部署</t>
        </is>
      </c>
    </row>
    <row r="21">
      <c r="A21" s="21" t="inlineStr">
        <is>
          <t>Equipment revenue 2027E</t>
        </is>
      </c>
      <c r="B21" s="22" t="inlineStr">
        <is>
          <t>¥mm</t>
        </is>
      </c>
      <c r="C21" s="9" t="n">
        <v>400</v>
      </c>
      <c r="D21" s="9" t="n">
        <v>650</v>
      </c>
      <c r="E21" s="9" t="n">
        <v>1000</v>
      </c>
    </row>
    <row r="22">
      <c r="A22" s="21" t="inlineStr">
        <is>
          <t>Data revenue 2027E</t>
        </is>
      </c>
      <c r="B22" s="22" t="inlineStr">
        <is>
          <t>¥mm</t>
        </is>
      </c>
      <c r="C22" s="9" t="n">
        <v>80</v>
      </c>
      <c r="D22" s="9" t="n">
        <v>180</v>
      </c>
      <c r="E22" s="9" t="n">
        <v>350</v>
      </c>
    </row>
    <row r="23">
      <c r="A23" s="15" t="inlineStr">
        <is>
          <t>TOTAL 2027E REVENUE</t>
        </is>
      </c>
      <c r="B23" s="16" t="n"/>
      <c r="C23" s="24">
        <f>C20+C21+C22</f>
        <v/>
      </c>
      <c r="D23" s="24">
        <f>D20+D21+D22</f>
        <v/>
      </c>
      <c r="E23" s="24">
        <f>E20+E21+E22</f>
        <v/>
      </c>
    </row>
    <row r="25">
      <c r="A25" s="83" t="inlineStr">
        <is>
          <t>INTERNATIONAL PRICING CROSS-CHECK</t>
        </is>
      </c>
    </row>
    <row r="26">
      <c r="A26" s="80" t="inlineStr">
        <is>
          <t>AWS GS S-band reserved (8-min pass)</t>
        </is>
      </c>
      <c r="C26" s="80" t="inlineStr">
        <is>
          <t>¥174/pass</t>
        </is>
      </c>
      <c r="D26" s="84" t="inlineStr">
        <is>
          <t>$3/min × 8min × ¥7.25</t>
        </is>
      </c>
    </row>
    <row r="27">
      <c r="A27" s="80" t="inlineStr">
        <is>
          <t>AWS GS S-band on-demand (8-min pass)</t>
        </is>
      </c>
      <c r="C27" s="80" t="inlineStr">
        <is>
          <t>¥580/pass</t>
        </is>
      </c>
      <c r="D27" s="84" t="inlineStr">
        <is>
          <t>$10/min × 8min × ¥7.25</t>
        </is>
      </c>
    </row>
    <row r="28">
      <c r="A28" s="80" t="inlineStr">
        <is>
          <t>KSAT implied (TT&amp;C-adj., 2024)</t>
        </is>
      </c>
      <c r="C28" s="80" t="inlineStr">
        <is>
          <t>¥710/pass</t>
        </is>
      </c>
      <c r="D28" s="84" t="inlineStr">
        <is>
          <t>$210M rev × 70% TT&amp;C / 1.5M passes × ¥7.25</t>
        </is>
      </c>
    </row>
    <row r="29">
      <c r="A29" s="80" t="inlineStr">
        <is>
          <t>China annual fee implied</t>
        </is>
      </c>
      <c r="C29" s="80" t="inlineStr">
        <is>
          <t>¥650/pass</t>
        </is>
      </c>
      <c r="D29" s="84" t="inlineStr">
        <is>
          <t>¥650,000/sat/yr ÷ 1,000 passes/yr</t>
        </is>
      </c>
    </row>
    <row r="30">
      <c r="A30" s="80" t="inlineStr">
        <is>
          <t>Base case assumption</t>
        </is>
      </c>
      <c r="C30" s="80" t="inlineStr">
        <is>
          <t>¥750/pass</t>
        </is>
      </c>
      <c r="D30" s="84" t="inlineStr">
        <is>
          <t>Within KSAT-implied range, Tier ③ full-service</t>
        </is>
      </c>
    </row>
    <row r="31">
      <c r="A31" s="80" t="inlineStr">
        <is>
          <t>Status</t>
        </is>
      </c>
      <c r="C31" s="85" t="inlineStr">
        <is>
          <t>SUPPORTED</t>
        </is>
      </c>
      <c r="D31" s="84" t="inlineStr">
        <is>
          <t>Upgraded from unsupported estimate</t>
        </is>
      </c>
    </row>
    <row r="33">
      <c r="A33" s="83" t="inlineStr">
        <is>
          <t>VOLUME SOURCING — 翻倍外推法</t>
        </is>
      </c>
    </row>
    <row r="34">
      <c r="A34" s="92" t="inlineStr">
        <is>
          <t>年份</t>
        </is>
      </c>
      <c r="B34" s="92" t="inlineStr">
        <is>
          <t>轨次量</t>
        </is>
      </c>
      <c r="C34" s="92" t="inlineStr">
        <is>
          <t>来源/依据</t>
        </is>
      </c>
      <c r="D34" s="92" t="inlineStr">
        <is>
          <t>置信度</t>
        </is>
      </c>
    </row>
    <row r="35">
      <c r="A35" s="80" t="inlineStr">
        <is>
          <t>2021 实际</t>
        </is>
      </c>
      <c r="B35" s="80" t="inlineStr">
        <is>
          <t>~2万轨次</t>
        </is>
      </c>
      <c r="C35" s="80" t="inlineStr">
        <is>
          <t>36Kr融资报道（硬数据）</t>
        </is>
      </c>
      <c r="D35" s="90" t="inlineStr">
        <is>
          <t>HIGH</t>
        </is>
      </c>
    </row>
    <row r="36">
      <c r="A36" s="80" t="inlineStr">
        <is>
          <t>2022 实际</t>
        </is>
      </c>
      <c r="B36" s="80" t="inlineStr">
        <is>
          <t>~6万轨次</t>
        </is>
      </c>
      <c r="C36" s="80" t="inlineStr">
        <is>
          <t>36Kr融资报道（硬数据）</t>
        </is>
      </c>
      <c r="D36" s="90" t="inlineStr">
        <is>
          <t>HIGH</t>
        </is>
      </c>
    </row>
    <row r="37">
      <c r="A37" s="80" t="inlineStr">
        <is>
          <t>2023E 外推</t>
        </is>
      </c>
      <c r="B37" s="80" t="inlineStr">
        <is>
          <t>~12万轨次</t>
        </is>
      </c>
      <c r="C37" s="80" t="inlineStr">
        <is>
          <t>"连续四年翻倍增长"（公司PR/36Kr）</t>
        </is>
      </c>
      <c r="D37" s="80" t="inlineStr">
        <is>
          <t>MED</t>
        </is>
      </c>
    </row>
    <row r="38">
      <c r="A38" s="80" t="inlineStr">
        <is>
          <t>2024E 外推</t>
        </is>
      </c>
      <c r="B38" s="80" t="inlineStr">
        <is>
          <t>~24万轨次</t>
        </is>
      </c>
      <c r="C38" s="80" t="inlineStr">
        <is>
          <t>同上 + 在管卫星360+颗佐证</t>
        </is>
      </c>
      <c r="D38" s="80" t="inlineStr">
        <is>
          <t>MED</t>
        </is>
      </c>
    </row>
    <row r="39">
      <c r="A39" s="80" t="inlineStr">
        <is>
          <t>2025E 外推（基准）</t>
        </is>
      </c>
      <c r="B39" s="80" t="inlineStr">
        <is>
          <t>~48万轨次</t>
        </is>
      </c>
      <c r="C39" s="80" t="inlineStr">
        <is>
          <t>翻倍趋势延续；中国航天市场趋势可能保守</t>
        </is>
      </c>
      <c r="D39" s="80" t="inlineStr">
        <is>
          <t>MED</t>
        </is>
      </c>
    </row>
    <row r="41">
      <c r="A41" s="81" t="inlineStr">
        <is>
          <t>交叉验证</t>
        </is>
      </c>
    </row>
    <row r="42">
      <c r="A42" s="80" t="inlineStr">
        <is>
          <t>自下而上</t>
        </is>
      </c>
      <c r="B42" s="80" t="inlineStr">
        <is>
          <t>360颗卫星 × 3次/天 × 365天 = 39.4万</t>
        </is>
      </c>
      <c r="C42" s="93" t="inlineStr">
        <is>
          <t>框住48万区间</t>
        </is>
      </c>
    </row>
    <row r="43">
      <c r="A43" s="80" t="inlineStr">
        <is>
          <t>KSAT产能比例</t>
        </is>
      </c>
      <c r="B43" s="80" t="inlineStr">
        <is>
          <t>航天驭星60站/KSAT 200站 × 150万 = ~45万</t>
        </is>
      </c>
      <c r="C43" s="93" t="inlineStr">
        <is>
          <t>接近48万</t>
        </is>
      </c>
    </row>
    <row r="44">
      <c r="A44" s="80" t="inlineStr">
        <is>
          <t>翻倍趋势 vs 模型</t>
        </is>
      </c>
      <c r="B44" s="80" t="inlineStr">
        <is>
          <t>48万(翻倍) vs 旧模型32万(弱化25%)</t>
        </is>
      </c>
      <c r="C44" s="93" t="inlineStr">
        <is>
          <t>已修正</t>
        </is>
      </c>
    </row>
  </sheetData>
  <mergeCells count="6">
    <mergeCell ref="A2:E2"/>
    <mergeCell ref="A19:E19"/>
    <mergeCell ref="A11:E11"/>
    <mergeCell ref="A1:E1"/>
    <mergeCell ref="A5:E5"/>
    <mergeCell ref="A9:E9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18" customWidth="1" min="4" max="4"/>
    <col width="18" customWidth="1" min="5" max="5"/>
    <col width="28" customWidth="1" min="6" max="6"/>
    <col width="22" customWidth="1" min="7" max="7"/>
    <col width="18" customWidth="1" min="8" max="8"/>
  </cols>
  <sheetData>
    <row r="1">
      <c r="A1" s="86" t="inlineStr">
        <is>
          <t>INTERNATIONAL TT&amp;C PRICING BENCHMARKS — ANCHORING THE ¥750/PASS ASSUMPTION</t>
        </is>
      </c>
    </row>
    <row r="2">
      <c r="A2" s="84" t="inlineStr">
        <is>
          <t>Sources: AWS, KSAT annual report, Leaf Space, Frank Rayal GSaaS analysis, industry press. All figures converted at USD/CNY 7.25.</t>
        </is>
      </c>
    </row>
    <row r="4">
      <c r="A4" s="83" t="inlineStr">
        <is>
          <t>A. CLOUD GROUND STATION PER-MINUTE RATES (pure antenna time, no operations)</t>
        </is>
      </c>
    </row>
    <row r="5">
      <c r="A5" s="87" t="inlineStr">
        <is>
          <t>Provider</t>
        </is>
      </c>
      <c r="B5" s="87" t="inlineStr">
        <is>
          <t>Band / Tier</t>
        </is>
      </c>
      <c r="C5" s="87" t="inlineStr">
        <is>
          <t>$/min Reserved</t>
        </is>
      </c>
      <c r="D5" s="87" t="inlineStr">
        <is>
          <t>$/min On-Demand</t>
        </is>
      </c>
      <c r="E5" s="87" t="inlineStr">
        <is>
          <t>Typical Pass (min)</t>
        </is>
      </c>
      <c r="F5" s="87" t="inlineStr">
        <is>
          <t>$/pass Reserved</t>
        </is>
      </c>
      <c r="G5" s="87" t="inlineStr">
        <is>
          <t>$/pass On-Demand</t>
        </is>
      </c>
      <c r="H5" s="87" t="inlineStr">
        <is>
          <t>¥/pass On-Demand</t>
        </is>
      </c>
    </row>
    <row r="6">
      <c r="A6" s="88" t="inlineStr">
        <is>
          <t>AWS Ground Station</t>
        </is>
      </c>
      <c r="B6" s="88" t="inlineStr">
        <is>
          <t>Narrowband (&lt;40MHz, S-band TT&amp;C)</t>
        </is>
      </c>
      <c r="C6" s="88" t="n">
        <v>3</v>
      </c>
      <c r="D6" s="88" t="n">
        <v>10</v>
      </c>
      <c r="E6" s="88" t="n">
        <v>8</v>
      </c>
      <c r="F6" s="88">
        <f>C6*E6</f>
        <v/>
      </c>
      <c r="G6" s="88">
        <f>D6*E6</f>
        <v/>
      </c>
      <c r="H6" s="88">
        <f>G6*7.25</f>
        <v/>
      </c>
    </row>
    <row r="7">
      <c r="A7" s="80" t="inlineStr">
        <is>
          <t>AWS Ground Station</t>
        </is>
      </c>
      <c r="B7" s="80" t="inlineStr">
        <is>
          <t>Wideband (≥40MHz, X-band data)</t>
        </is>
      </c>
      <c r="C7" s="80" t="n">
        <v>10</v>
      </c>
      <c r="D7" s="80" t="n">
        <v>22</v>
      </c>
      <c r="E7" s="80" t="n">
        <v>8</v>
      </c>
      <c r="F7" s="80">
        <f>C7*E7</f>
        <v/>
      </c>
      <c r="G7" s="80">
        <f>D7*E7</f>
        <v/>
      </c>
      <c r="H7" s="80">
        <f>G7*7.25</f>
        <v/>
      </c>
    </row>
    <row r="8">
      <c r="A8" s="88" t="inlineStr">
        <is>
          <t>Leaf Space</t>
        </is>
      </c>
      <c r="B8" s="88" t="inlineStr">
        <is>
          <t>S/X-band all-inclusive</t>
        </is>
      </c>
      <c r="C8" s="88" t="inlineStr">
        <is>
          <t>~3-5</t>
        </is>
      </c>
      <c r="D8" s="88" t="inlineStr">
        <is>
          <t>n/a (per-min only)</t>
        </is>
      </c>
      <c r="E8" s="88" t="n">
        <v>8</v>
      </c>
      <c r="F8" s="88" t="inlineStr">
        <is>
          <t>~24-40</t>
        </is>
      </c>
      <c r="G8" s="88" t="inlineStr">
        <is>
          <t>—</t>
        </is>
      </c>
      <c r="H8" s="88" t="inlineStr">
        <is>
          <t>~174-290</t>
        </is>
      </c>
    </row>
    <row r="9">
      <c r="A9" s="80" t="inlineStr">
        <is>
          <t>Azure Orbital</t>
        </is>
      </c>
      <c r="B9" s="80" t="inlineStr">
        <is>
          <t>Not public (per-min model)</t>
        </is>
      </c>
      <c r="C9" s="80" t="inlineStr">
        <is>
          <t>—</t>
        </is>
      </c>
      <c r="D9" s="80" t="inlineStr">
        <is>
          <t>—</t>
        </is>
      </c>
      <c r="E9" s="80" t="n">
        <v>8</v>
      </c>
      <c r="F9" s="80" t="inlineStr">
        <is>
          <t>—</t>
        </is>
      </c>
      <c r="G9" s="80" t="inlineStr">
        <is>
          <t>—</t>
        </is>
      </c>
      <c r="H9" s="80" t="inlineStr">
        <is>
          <t>—</t>
        </is>
      </c>
    </row>
    <row r="11">
      <c r="A11" s="84" t="inlineStr">
        <is>
          <t>Note: AWS = raw antenna time only. No mission planning, scheduling, TT&amp;C operations staff, or data processing. Full-service providers add 2-3x premium.</t>
        </is>
      </c>
    </row>
    <row r="13">
      <c r="A13" s="83" t="inlineStr">
        <is>
          <t>B. FULL-SERVICE TT&amp;C — IMPLIED PER-PASS ECONOMICS</t>
        </is>
      </c>
    </row>
    <row r="14">
      <c r="A14" s="87" t="inlineStr">
        <is>
          <t>Provider</t>
        </is>
      </c>
      <c r="B14" s="87" t="inlineStr">
        <is>
          <t>Revenue (ann.)</t>
        </is>
      </c>
      <c r="C14" s="87" t="inlineStr">
        <is>
          <t>Passes (ann.)</t>
        </is>
      </c>
      <c r="D14" s="87" t="inlineStr">
        <is>
          <t>Implied $/pass</t>
        </is>
      </c>
      <c r="E14" s="87" t="inlineStr">
        <is>
          <t>Implied ¥/pass</t>
        </is>
      </c>
      <c r="F14" s="87" t="inlineStr">
        <is>
          <t>Service Level</t>
        </is>
      </c>
      <c r="G14" s="87" t="inlineStr">
        <is>
          <t>Source</t>
        </is>
      </c>
      <c r="H14" s="87" t="inlineStr">
        <is>
          <t>Confidence</t>
        </is>
      </c>
    </row>
    <row r="15">
      <c r="A15" s="88" t="inlineStr">
        <is>
          <t>KSAT (Norway)</t>
        </is>
      </c>
      <c r="B15" s="88" t="inlineStr">
        <is>
          <t>$210M (2024)</t>
        </is>
      </c>
      <c r="C15" s="88" t="inlineStr">
        <is>
          <t>1.5M+ (2023)</t>
        </is>
      </c>
      <c r="D15" s="88" t="inlineStr">
        <is>
          <t>~$140</t>
        </is>
      </c>
      <c r="E15" s="88" t="inlineStr">
        <is>
          <t>~¥1,015</t>
        </is>
      </c>
      <c r="F15" s="88" t="inlineStr">
        <is>
          <t>Full-service + polar premium</t>
        </is>
      </c>
      <c r="G15" s="88" t="inlineStr">
        <is>
          <t>Space Norway AR 2024</t>
        </is>
      </c>
      <c r="H15" s="88" t="inlineStr">
        <is>
          <t>High</t>
        </is>
      </c>
    </row>
    <row r="16">
      <c r="A16" s="80" t="inlineStr">
        <is>
          <t>KSAT (adj. for TT&amp;C only ~70%)</t>
        </is>
      </c>
      <c r="B16" s="80" t="inlineStr">
        <is>
          <t>$147M est.</t>
        </is>
      </c>
      <c r="C16" s="80" t="inlineStr">
        <is>
          <t>1.5M+</t>
        </is>
      </c>
      <c r="D16" s="80" t="inlineStr">
        <is>
          <t>~$98</t>
        </is>
      </c>
      <c r="E16" s="80" t="inlineStr">
        <is>
          <t>~¥710</t>
        </is>
      </c>
      <c r="F16" s="80" t="inlineStr">
        <is>
          <t>TT&amp;C portion only</t>
        </is>
      </c>
      <c r="G16" s="80" t="inlineStr">
        <is>
          <t>Estimated</t>
        </is>
      </c>
      <c r="H16" s="80" t="inlineStr">
        <is>
          <t>Medium</t>
        </is>
      </c>
    </row>
    <row r="17">
      <c r="A17" s="88" t="inlineStr">
        <is>
          <t>Leaf Space</t>
        </is>
      </c>
      <c r="B17" s="88" t="inlineStr">
        <is>
          <t>$1.8M est. (pass rev)</t>
        </is>
      </c>
      <c r="C17" s="88" t="inlineStr">
        <is>
          <t>60k (5k/mo)</t>
        </is>
      </c>
      <c r="D17" s="88" t="inlineStr">
        <is>
          <t>~$30</t>
        </is>
      </c>
      <c r="E17" s="88" t="inlineStr">
        <is>
          <t>~¥218</t>
        </is>
      </c>
      <c r="F17" s="88" t="inlineStr">
        <is>
          <t>Managed GSaaS, smallsat</t>
        </is>
      </c>
      <c r="G17" s="88" t="inlineStr">
        <is>
          <t>Company website</t>
        </is>
      </c>
      <c r="H17" s="88" t="inlineStr">
        <is>
          <t>Low-Med</t>
        </is>
      </c>
    </row>
    <row r="18">
      <c r="A18" s="80" t="inlineStr">
        <is>
          <t>Industry benchmark (smallsat)</t>
        </is>
      </c>
      <c r="B18" s="80" t="inlineStr">
        <is>
          <t>—</t>
        </is>
      </c>
      <c r="C18" s="80" t="inlineStr">
        <is>
          <t>—</t>
        </is>
      </c>
      <c r="D18" s="80" t="inlineStr">
        <is>
          <t>$20-80</t>
        </is>
      </c>
      <c r="E18" s="80" t="inlineStr">
        <is>
          <t>¥145-580</t>
        </is>
      </c>
      <c r="F18" s="80" t="inlineStr">
        <is>
          <t>Basic S-band TT&amp;C</t>
        </is>
      </c>
      <c r="G18" s="80" t="inlineStr">
        <is>
          <t>Frank Rayal 2025</t>
        </is>
      </c>
      <c r="H18" s="80" t="inlineStr">
        <is>
          <t>Medium</t>
        </is>
      </c>
    </row>
    <row r="19">
      <c r="A19" s="88" t="inlineStr">
        <is>
          <t>Industry benchmark (high-link)</t>
        </is>
      </c>
      <c r="B19" s="88" t="inlineStr">
        <is>
          <t>—</t>
        </is>
      </c>
      <c r="C19" s="88" t="inlineStr">
        <is>
          <t>—</t>
        </is>
      </c>
      <c r="D19" s="88" t="inlineStr">
        <is>
          <t>$100-300</t>
        </is>
      </c>
      <c r="E19" s="88" t="inlineStr">
        <is>
          <t>¥725-2,175</t>
        </is>
      </c>
      <c r="F19" s="88" t="inlineStr">
        <is>
          <t>Full-service, multi-band</t>
        </is>
      </c>
      <c r="G19" s="88" t="inlineStr">
        <is>
          <t>Frank Rayal 2025</t>
        </is>
      </c>
      <c r="H19" s="88" t="inlineStr">
        <is>
          <t>Medium</t>
        </is>
      </c>
    </row>
    <row r="22">
      <c r="A22" s="83" t="inlineStr">
        <is>
          <t>C. CHINA MARKET — PER-SATELLITE ANNUAL SERVICE FEES</t>
        </is>
      </c>
    </row>
    <row r="23">
      <c r="A23" s="89" t="inlineStr">
        <is>
          <t>Metric</t>
        </is>
      </c>
      <c r="B23" s="89" t="inlineStr">
        <is>
          <t>Low</t>
        </is>
      </c>
      <c r="C23" s="89" t="inlineStr">
        <is>
          <t>Base</t>
        </is>
      </c>
      <c r="D23" s="89" t="inlineStr">
        <is>
          <t>High</t>
        </is>
      </c>
      <c r="E23" s="89" t="inlineStr">
        <is>
          <t>Source</t>
        </is>
      </c>
      <c r="F23" s="89" t="inlineStr"/>
      <c r="G23" s="89" t="inlineStr"/>
      <c r="H23" s="89" t="inlineStr"/>
    </row>
    <row r="24">
      <c r="A24" s="88" t="inlineStr">
        <is>
          <t>Annual TT&amp;C fee per satellite</t>
        </is>
      </c>
      <c r="B24" s="88" t="n">
        <v>500000</v>
      </c>
      <c r="C24" s="88" t="n">
        <v>650000</v>
      </c>
      <c r="D24" s="88" t="n">
        <v>800000</v>
      </c>
      <c r="E24" s="88" t="inlineStr">
        <is>
          <t>未来航天 research (¥60-70万)</t>
        </is>
      </c>
    </row>
    <row r="25">
      <c r="A25" s="80" t="inlineStr">
        <is>
          <t>Passes per satellite per year</t>
        </is>
      </c>
      <c r="B25" s="80" t="n">
        <v>800</v>
      </c>
      <c r="C25" s="80" t="n">
        <v>1000</v>
      </c>
      <c r="D25" s="80" t="n">
        <v>1200</v>
      </c>
      <c r="E25" s="80" t="inlineStr">
        <is>
          <t>Assumes 2-3 contacts/day</t>
        </is>
      </c>
    </row>
    <row r="26">
      <c r="A26" s="88" t="inlineStr">
        <is>
          <t>Implied ¥/pass</t>
        </is>
      </c>
      <c r="B26" s="88">
        <f>B24/B25</f>
        <v/>
      </c>
      <c r="C26" s="88">
        <f>C24/C25</f>
        <v/>
      </c>
      <c r="D26" s="88">
        <f>D24/D25</f>
        <v/>
      </c>
      <c r="E26" s="88" t="inlineStr">
        <is>
          <t>Cross-check</t>
        </is>
      </c>
    </row>
    <row r="27">
      <c r="A27" s="80" t="inlineStr">
        <is>
          <t>航天驭星 managed satellites (2025E)</t>
        </is>
      </c>
      <c r="B27" s="80" t="n">
        <v>400</v>
      </c>
      <c r="C27" s="80" t="n">
        <v>450</v>
      </c>
      <c r="D27" s="80" t="n">
        <v>500</v>
      </c>
      <c r="E27" s="80" t="inlineStr">
        <is>
          <t>Company PR: 360+ (2024), growing</t>
        </is>
      </c>
    </row>
    <row r="28">
      <c r="A28" s="88" t="inlineStr">
        <is>
          <t>Implied service revenue (¥M)</t>
        </is>
      </c>
      <c r="B28" s="88">
        <f>B24*B27/1000000</f>
        <v/>
      </c>
      <c r="C28" s="88">
        <f>C24*C27/1000000</f>
        <v/>
      </c>
      <c r="D28" s="88">
        <f>D24*D27/1000000</f>
        <v/>
      </c>
      <c r="E28" s="88" t="inlineStr"/>
    </row>
    <row r="31">
      <c r="A31" s="83" t="inlineStr">
        <is>
          <t>D. PRICING SPECTRUM — WHERE DOES ¥750/PASS SIT?</t>
        </is>
      </c>
    </row>
    <row r="32">
      <c r="A32" s="89" t="inlineStr">
        <is>
          <t>Tier</t>
        </is>
      </c>
      <c r="B32" s="89" t="inlineStr">
        <is>
          <t>¥/pass Range</t>
        </is>
      </c>
      <c r="C32" s="89" t="inlineStr">
        <is>
          <t>$/pass Range</t>
        </is>
      </c>
      <c r="D32" s="89" t="inlineStr">
        <is>
          <t>Typical Provider</t>
        </is>
      </c>
      <c r="E32" s="89" t="inlineStr">
        <is>
          <t>Service Scope</t>
        </is>
      </c>
      <c r="F32" s="89" t="inlineStr"/>
      <c r="G32" s="89" t="inlineStr"/>
      <c r="H32" s="89" t="inlineStr"/>
    </row>
    <row r="33">
      <c r="A33" s="88" t="inlineStr">
        <is>
          <t>①  Raw antenna time (DIY)</t>
        </is>
      </c>
      <c r="B33" s="88" t="inlineStr">
        <is>
          <t>¥174-580</t>
        </is>
      </c>
      <c r="C33" s="88" t="inlineStr">
        <is>
          <t>$24-80</t>
        </is>
      </c>
      <c r="D33" s="88" t="inlineStr">
        <is>
          <t>AWS GS, Azure Orbital</t>
        </is>
      </c>
      <c r="E33" s="88" t="inlineStr">
        <is>
          <t>Antenna only, customer operates</t>
        </is>
      </c>
    </row>
    <row r="34">
      <c r="A34" s="80" t="inlineStr">
        <is>
          <t>②  Managed GSaaS (basic)</t>
        </is>
      </c>
      <c r="B34" s="80" t="inlineStr">
        <is>
          <t>¥145-435</t>
        </is>
      </c>
      <c r="C34" s="80" t="inlineStr">
        <is>
          <t>$20-60</t>
        </is>
      </c>
      <c r="D34" s="80" t="inlineStr">
        <is>
          <t>Leaf Space, RBC Signals</t>
        </is>
      </c>
      <c r="E34" s="80" t="inlineStr">
        <is>
          <t>Shared antennas, basic ops</t>
        </is>
      </c>
    </row>
    <row r="35">
      <c r="A35" s="90" t="inlineStr">
        <is>
          <t>③  Full-service TT&amp;C (mid)</t>
        </is>
      </c>
      <c r="B35" s="90" t="inlineStr">
        <is>
          <t>¥500-1,000</t>
        </is>
      </c>
      <c r="C35" s="90" t="inlineStr">
        <is>
          <t>$69-138</t>
        </is>
      </c>
      <c r="D35" s="90" t="inlineStr">
        <is>
          <t>航天驭星 (target zone)</t>
        </is>
      </c>
      <c r="E35" s="90" t="inlineStr">
        <is>
          <t>Dedicated ops, mission planning</t>
        </is>
      </c>
    </row>
    <row r="36">
      <c r="A36" s="80" t="inlineStr">
        <is>
          <t>④  Premium full-service</t>
        </is>
      </c>
      <c r="B36" s="80" t="inlineStr">
        <is>
          <t>¥1,000-2,175</t>
        </is>
      </c>
      <c r="C36" s="80" t="inlineStr">
        <is>
          <t>$138-300</t>
        </is>
      </c>
      <c r="D36" s="80" t="inlineStr">
        <is>
          <t>KSAT (polar), SSC</t>
        </is>
      </c>
      <c r="E36" s="80" t="inlineStr">
        <is>
          <t>Polar coverage, large aperture</t>
        </is>
      </c>
    </row>
    <row r="39">
      <c r="A39" s="83" t="inlineStr">
        <is>
          <t>E. CONCLUSION &amp; CONFIDENCE ASSESSMENT</t>
        </is>
      </c>
    </row>
    <row r="40">
      <c r="A40" s="80" t="inlineStr">
        <is>
          <t>• ¥750/pass (base case) sits in Tier ③ "Full-service TT&amp;C" — CONSISTENT with 航天驭星's positioning as a managed service provider with 60+ owned stations.</t>
        </is>
      </c>
    </row>
    <row r="41">
      <c r="A41" s="80" t="inlineStr">
        <is>
          <t>• Cross-check via per-satellite annual fee: ¥650,000/sat ÷ 1,000 passes/yr = ¥650/pass — within 15% of the ¥750 assumption.</t>
        </is>
      </c>
    </row>
    <row r="42">
      <c r="A42" s="80" t="inlineStr">
        <is>
          <t>• Cross-check via KSAT implied (adj.): $98/pass × 7.25 = ¥710/pass — within 6% of the ¥750 assumption.</t>
        </is>
      </c>
    </row>
    <row r="43">
      <c r="A43" s="80" t="inlineStr">
        <is>
          <t>• LOW case ¥500/pass is aggressive — approaches pure DIY/managed GSaaS pricing without accounting for 航天驭星's full-service operations.</t>
        </is>
      </c>
    </row>
    <row r="44">
      <c r="A44" s="80" t="inlineStr">
        <is>
          <t>• HIGH case ¥1,000/pass is achievable as constellation complexity increases (more debris avoidance, more frequent maneuvers, multi-payload scheduling).</t>
        </is>
      </c>
    </row>
    <row r="45">
      <c r="A45" s="84" t="inlineStr"/>
    </row>
    <row r="46">
      <c r="A46" s="80" t="inlineStr">
        <is>
          <t>• CONFIDENCE UPGRADE: ¥750/pass moves from "UNSUPPORTED ESTIMATE" to "SUPPORTED BY INTERNATIONAL BENCHMARKS" — still an estimate, but now anchored to:</t>
        </is>
      </c>
    </row>
    <row r="47">
      <c r="A47" s="84" t="inlineStr">
        <is>
          <t xml:space="preserve">    (1) AWS Ground Station published rates ($3-22/min)</t>
        </is>
      </c>
    </row>
    <row r="48">
      <c r="A48" s="84" t="inlineStr">
        <is>
          <t xml:space="preserve">    (2) KSAT 2024 implied economics (~$98-140/pass)</t>
        </is>
      </c>
    </row>
    <row r="49">
      <c r="A49" s="84" t="inlineStr">
        <is>
          <t xml:space="preserve">    (3) China per-satellite annual fee market benchmark (¥60-70万/sat)</t>
        </is>
      </c>
    </row>
    <row r="50">
      <c r="A50" s="84" t="inlineStr">
        <is>
          <t xml:space="preserve">    (4) Industry pricing spectrum from Frank Rayal GSaaS analysis</t>
        </is>
      </c>
    </row>
    <row r="51">
      <c r="A51" s="84" t="inlineStr"/>
    </row>
    <row r="52">
      <c r="A52" s="80" t="inlineStr">
        <is>
          <t>• REMAINING GAP: No direct observation of 航天驭星's actual contracted pricing. Only the 招股书 (prospectus) filing will close this.</t>
        </is>
      </c>
    </row>
  </sheetData>
  <mergeCells count="8">
    <mergeCell ref="A4:H4"/>
    <mergeCell ref="A39:H39"/>
    <mergeCell ref="A2:H2"/>
    <mergeCell ref="A13:H13"/>
    <mergeCell ref="A11:H11"/>
    <mergeCell ref="A1:H1"/>
    <mergeCell ref="A31:H3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4" customWidth="1" min="4" max="4"/>
    <col width="12" customWidth="1" min="5" max="5"/>
    <col width="52" customWidth="1" min="6" max="6"/>
  </cols>
  <sheetData>
    <row r="1" ht="24" customHeight="1">
      <c r="A1" s="1" t="inlineStr">
        <is>
          <t>航天驭星 — IMPLIED VALUATION  (multi-method, ¥ unless noted)</t>
        </is>
      </c>
    </row>
    <row r="2">
      <c r="A2" s="20" t="inlineStr">
        <is>
          <t>Five independent lenses. No single metric drives the conclusion. ¥mm unless '¥亿' (=¥100mm) noted.</t>
        </is>
      </c>
    </row>
    <row r="4">
      <c r="A4" s="5" t="inlineStr">
        <is>
          <t>METHOD 1 — SEGMENT-SPLIT EV / SALES  (on 2025E base-case revenue)</t>
        </is>
      </c>
    </row>
    <row r="5" ht="42" customHeight="1">
      <c r="A5" s="4" t="inlineStr">
        <is>
          <t>Segment</t>
        </is>
      </c>
      <c r="B5" s="4" t="inlineStr">
        <is>
          <t>2025E Rev (¥mm)</t>
        </is>
      </c>
      <c r="C5" s="4" t="inlineStr">
        <is>
          <t>EV/Sales Low</t>
        </is>
      </c>
      <c r="D5" s="4" t="inlineStr">
        <is>
          <t>EV/Sales Base</t>
        </is>
      </c>
      <c r="E5" s="4" t="inlineStr">
        <is>
          <t>EV/Sales High</t>
        </is>
      </c>
      <c r="F5" s="4" t="inlineStr">
        <is>
          <t>Implied EV Base (¥亿)</t>
        </is>
      </c>
    </row>
    <row r="6">
      <c r="A6" s="21" t="inlineStr">
        <is>
          <t>Service (TT&amp;C)</t>
        </is>
      </c>
      <c r="B6" s="12">
        <f>'Target Revenue Build'!D8</f>
        <v/>
      </c>
      <c r="C6" s="26" t="n">
        <v>5</v>
      </c>
      <c r="D6" s="26" t="n">
        <v>8</v>
      </c>
      <c r="E6" s="26" t="n">
        <v>12</v>
      </c>
      <c r="F6" s="27">
        <f>B6*D6/100</f>
        <v/>
      </c>
    </row>
    <row r="7">
      <c r="A7" s="21" t="inlineStr">
        <is>
          <t>Equipment</t>
        </is>
      </c>
      <c r="B7" s="12">
        <f>'Target Revenue Build'!D10</f>
        <v/>
      </c>
      <c r="C7" s="26" t="n">
        <v>2</v>
      </c>
      <c r="D7" s="26" t="n">
        <v>3</v>
      </c>
      <c r="E7" s="26" t="n">
        <v>5</v>
      </c>
      <c r="F7" s="27">
        <f>B7*D7/100</f>
        <v/>
      </c>
    </row>
    <row r="8">
      <c r="A8" s="21" t="inlineStr">
        <is>
          <t>Data (航天云)</t>
        </is>
      </c>
      <c r="B8" s="12">
        <f>'Target Revenue Build'!D12</f>
        <v/>
      </c>
      <c r="C8" s="26" t="n">
        <v>3</v>
      </c>
      <c r="D8" s="26" t="n">
        <v>4</v>
      </c>
      <c r="E8" s="26" t="n">
        <v>6</v>
      </c>
      <c r="F8" s="27">
        <f>B8*D8/100</f>
        <v/>
      </c>
    </row>
    <row r="9">
      <c r="A9" s="15" t="inlineStr">
        <is>
          <t>TOTAL implied EV — 2025E</t>
        </is>
      </c>
      <c r="B9" s="16" t="n"/>
      <c r="C9" s="16" t="n"/>
      <c r="D9" s="16" t="n"/>
      <c r="E9" s="16" t="n"/>
      <c r="F9" s="28">
        <f>SUM(F6:F8)</f>
        <v/>
      </c>
    </row>
    <row r="10">
      <c r="A10" s="21" t="inlineStr">
        <is>
          <t xml:space="preserve">  Range (Low → High, ¥亿)</t>
        </is>
      </c>
      <c r="B10" s="27">
        <f>(B6*C6+B7*C7+B8*C8)/100</f>
        <v/>
      </c>
      <c r="C10" s="8" t="inlineStr">
        <is>
          <t>→</t>
        </is>
      </c>
      <c r="D10" s="27">
        <f>(B6*E6+B7*E7+B8*E8)/100</f>
        <v/>
      </c>
    </row>
    <row r="12">
      <c r="A12" s="5" t="inlineStr">
        <is>
          <t>METHOD 2 — SEGMENT-SPLIT EV / SALES  (on 2027E forward revenue, base multiples)</t>
        </is>
      </c>
    </row>
    <row r="13" ht="42" customHeight="1">
      <c r="A13" s="4" t="inlineStr">
        <is>
          <t>Segment</t>
        </is>
      </c>
      <c r="B13" s="4" t="inlineStr">
        <is>
          <t>2027E Rev (¥mm)</t>
        </is>
      </c>
      <c r="C13" s="4" t="inlineStr">
        <is>
          <t>—</t>
        </is>
      </c>
      <c r="D13" s="4" t="inlineStr">
        <is>
          <t>EV/Sales Base</t>
        </is>
      </c>
      <c r="E13" s="4" t="inlineStr">
        <is>
          <t>—</t>
        </is>
      </c>
      <c r="F13" s="4" t="inlineStr">
        <is>
          <t>Implied EV Base (¥亿)</t>
        </is>
      </c>
    </row>
    <row r="14">
      <c r="A14" s="21" t="inlineStr">
        <is>
          <t>Service</t>
        </is>
      </c>
      <c r="B14" s="12">
        <f>'Target Revenue Build'!D20</f>
        <v/>
      </c>
      <c r="D14" s="13">
        <f>D6</f>
        <v/>
      </c>
      <c r="F14" s="27">
        <f>B14*D14/100</f>
        <v/>
      </c>
    </row>
    <row r="15">
      <c r="A15" s="21" t="inlineStr">
        <is>
          <t>Equipment</t>
        </is>
      </c>
      <c r="B15" s="12">
        <f>'Target Revenue Build'!D21</f>
        <v/>
      </c>
      <c r="D15" s="13">
        <f>D7</f>
        <v/>
      </c>
      <c r="F15" s="27">
        <f>B15*D15/100</f>
        <v/>
      </c>
    </row>
    <row r="16">
      <c r="A16" s="21" t="inlineStr">
        <is>
          <t>Data</t>
        </is>
      </c>
      <c r="B16" s="12">
        <f>'Target Revenue Build'!D22</f>
        <v/>
      </c>
      <c r="D16" s="13">
        <f>D8</f>
        <v/>
      </c>
      <c r="F16" s="27">
        <f>B16*D16/100</f>
        <v/>
      </c>
    </row>
    <row r="17">
      <c r="A17" s="15" t="inlineStr">
        <is>
          <t>TOTAL implied EV — 2027E (undiscounted)</t>
        </is>
      </c>
      <c r="B17" s="16" t="n"/>
      <c r="C17" s="16" t="n"/>
      <c r="D17" s="16" t="n"/>
      <c r="E17" s="16" t="n"/>
      <c r="F17" s="28">
        <f>SUM(F14:F16)</f>
        <v/>
      </c>
    </row>
    <row r="18">
      <c r="A18" s="21" t="inlineStr">
        <is>
          <t>PV of 2027E EV  (WACC 14.0%, 2.0 yrs)</t>
        </is>
      </c>
      <c r="B18" s="10" t="n">
        <v>0.1399288666666667</v>
      </c>
      <c r="F18" s="28">
        <f>F17/(1+B18)^2</f>
        <v/>
      </c>
    </row>
    <row r="20">
      <c r="A20" s="5" t="inlineStr">
        <is>
          <t>METHOD 3 — EV / CAPACITY  (ground-station unit economics, KSAT-benchmarked)</t>
        </is>
      </c>
    </row>
    <row r="21" ht="42" customHeight="1">
      <c r="A21" s="4" t="inlineStr">
        <is>
          <t>Metric</t>
        </is>
      </c>
      <c r="B21" s="4" t="inlineStr">
        <is>
          <t>Count</t>
        </is>
      </c>
      <c r="C21" s="4" t="inlineStr">
        <is>
          <t>¥/unit Low (¥亿)</t>
        </is>
      </c>
      <c r="D21" s="4" t="inlineStr">
        <is>
          <t>¥/unit High (¥亿)</t>
        </is>
      </c>
      <c r="E21" s="4" t="inlineStr">
        <is>
          <t>—</t>
        </is>
      </c>
      <c r="F21" s="4" t="inlineStr">
        <is>
          <t>Implied EV (¥亿)</t>
        </is>
      </c>
    </row>
    <row r="22">
      <c r="A22" s="21" t="inlineStr">
        <is>
          <t>Ground stations (套)</t>
        </is>
      </c>
      <c r="B22" s="9" t="n">
        <v>60</v>
      </c>
      <c r="C22" s="29" t="n">
        <v>0.36</v>
      </c>
      <c r="D22" s="29" t="n">
        <v>0.71</v>
      </c>
      <c r="F22" s="27">
        <f>B22*C22</f>
        <v/>
      </c>
    </row>
    <row r="23">
      <c r="A23" s="21" t="inlineStr">
        <is>
          <t xml:space="preserve">  Range (Low → High, ¥亿)</t>
        </is>
      </c>
      <c r="F23" s="27">
        <f>B22*D22</f>
        <v/>
      </c>
    </row>
    <row r="24" ht="24" customHeight="1">
      <c r="A24" s="30" t="inlineStr">
        <is>
          <t>⚠ 'station' vs 'antenna' definitions differ across operators; per-station value is indicative only.</t>
        </is>
      </c>
    </row>
    <row r="26">
      <c r="A26" s="5" t="inlineStr">
        <is>
          <t>METHOD 4 — FUNDING-IMPLIED EV  (reverse-engineered from rounds; equity value ≈ EV, minimal net debt)</t>
        </is>
      </c>
    </row>
    <row r="27" ht="42" customHeight="1">
      <c r="A27" s="4" t="inlineStr">
        <is>
          <t>Round / Mark</t>
        </is>
      </c>
      <c r="B27" s="4" t="inlineStr">
        <is>
          <t>Amount raised (¥亿)</t>
        </is>
      </c>
      <c r="C27" s="4" t="inlineStr">
        <is>
          <t>Assumed stake %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Implied post-money (¥亿)</t>
        </is>
      </c>
    </row>
    <row r="28">
      <c r="A28" s="21" t="inlineStr">
        <is>
          <t>D round (Dec-2025)</t>
        </is>
      </c>
      <c r="B28" s="29" t="n">
        <v>6</v>
      </c>
      <c r="C28" s="10" t="n">
        <v>0.09</v>
      </c>
      <c r="F28" s="27">
        <f>B28/C28</f>
        <v/>
      </c>
    </row>
    <row r="29">
      <c r="A29" s="21" t="inlineStr">
        <is>
          <t>C+ round (Aug-2025)</t>
        </is>
      </c>
      <c r="B29" s="29" t="n">
        <v>4.3</v>
      </c>
      <c r="C29" s="10" t="n">
        <v>0.08</v>
      </c>
      <c r="F29" s="27">
        <f>B29/C29</f>
        <v/>
      </c>
    </row>
    <row r="30">
      <c r="A30" s="21" t="inlineStr">
        <is>
          <t>Reported 'unicorn' mark (range)</t>
        </is>
      </c>
      <c r="B30" s="29" t="n">
        <v>60</v>
      </c>
      <c r="C30" s="8" t="inlineStr">
        <is>
          <t>→</t>
        </is>
      </c>
      <c r="D30" s="29" t="n">
        <v>70</v>
      </c>
    </row>
    <row r="33">
      <c r="A33" s="5" t="inlineStr">
        <is>
          <t>FOOTBALL FIELD — VALUATION RANGE BY METHOD  (¥亿)</t>
        </is>
      </c>
    </row>
    <row r="34" ht="42" customHeight="1">
      <c r="A34" s="4" t="inlineStr">
        <is>
          <t>Method</t>
        </is>
      </c>
      <c r="B34" s="4" t="inlineStr">
        <is>
          <t>Low (¥亿)</t>
        </is>
      </c>
      <c r="C34" s="4" t="inlineStr">
        <is>
          <t>High (¥亿)</t>
        </is>
      </c>
      <c r="D34" s="4" t="inlineStr">
        <is>
          <t>Midpoint</t>
        </is>
      </c>
      <c r="E34" s="4" t="inlineStr">
        <is>
          <t>Confidence</t>
        </is>
      </c>
      <c r="F34" s="4" t="inlineStr">
        <is>
          <t>Comment</t>
        </is>
      </c>
      <c r="H34" s="21" t="inlineStr">
        <is>
          <t>span</t>
        </is>
      </c>
    </row>
    <row r="35">
      <c r="A35" s="21" t="inlineStr">
        <is>
          <t>1. Segment-split EV/Sales — 2025E (current)</t>
        </is>
      </c>
      <c r="B35" s="27">
        <f>B10</f>
        <v/>
      </c>
      <c r="C35" s="27">
        <f>D10</f>
        <v/>
      </c>
      <c r="D35" s="27">
        <f>(B35+C35)/2</f>
        <v/>
      </c>
      <c r="E35" s="8" t="inlineStr">
        <is>
          <t>Med</t>
        </is>
      </c>
      <c r="F35" s="21" t="inlineStr">
        <is>
          <t>Today's-sales view → looks cheap vs funding mark; credits only build-phase output.</t>
        </is>
      </c>
      <c r="H35" s="27">
        <f>C35-B35</f>
        <v/>
      </c>
    </row>
    <row r="36">
      <c r="A36" s="21" t="inlineStr">
        <is>
          <t>2. Segment-split — 2027E forward (undisc.)</t>
        </is>
      </c>
      <c r="B36" s="27">
        <f>('Target Revenue Build'!D20*C6+'Target Revenue Build'!D21*C7+'Target Revenue Build'!D22*C8)/100</f>
        <v/>
      </c>
      <c r="C36" s="27">
        <f>('Target Revenue Build'!D20*E6+'Target Revenue Build'!D21*E7+'Target Revenue Build'!D22*E8)/100</f>
        <v/>
      </c>
      <c r="D36" s="27">
        <f>(B36+C36)/2</f>
        <v/>
      </c>
      <c r="E36" s="8" t="inlineStr">
        <is>
          <t>Low</t>
        </is>
      </c>
      <c r="F36" s="21" t="inlineStr">
        <is>
          <t>Forward view → reconciles toward funding mark; the bull case.</t>
        </is>
      </c>
      <c r="H36" s="27">
        <f>C36-B36</f>
        <v/>
      </c>
    </row>
    <row r="37">
      <c r="A37" s="21" t="inlineStr">
        <is>
          <t>2b. Segment-split — 2027E forward (PV @ WACC 14.0%)</t>
        </is>
      </c>
      <c r="B37" s="27">
        <f>B36/(1+B18)^2</f>
        <v/>
      </c>
      <c r="C37" s="27">
        <f>C36/(1+B18)^2</f>
        <v/>
      </c>
      <c r="D37" s="27">
        <f>(B37+C37)/2</f>
        <v/>
      </c>
      <c r="E37" s="8" t="inlineStr">
        <is>
          <t>Med</t>
        </is>
      </c>
      <c r="F37" s="21" t="inlineStr">
        <is>
          <t>WACC-derived (was 20% ad-hoc). See WACC Analysis tab.</t>
        </is>
      </c>
      <c r="H37" s="27">
        <f>C37-B37</f>
        <v/>
      </c>
    </row>
    <row r="38">
      <c r="A38" s="21" t="inlineStr">
        <is>
          <t>3. EV / Capacity (per station)</t>
        </is>
      </c>
      <c r="B38" s="27">
        <f>F22</f>
        <v/>
      </c>
      <c r="C38" s="27">
        <f>F23</f>
        <v/>
      </c>
      <c r="D38" s="27">
        <f>(B38+C38)/2</f>
        <v/>
      </c>
      <c r="E38" s="8" t="inlineStr">
        <is>
          <t>Low</t>
        </is>
      </c>
      <c r="F38" s="21" t="inlineStr">
        <is>
          <t>Double-estimate (KSAT EV est.); sanity band only.</t>
        </is>
      </c>
      <c r="H38" s="27">
        <f>C38-B38</f>
        <v/>
      </c>
    </row>
    <row r="39">
      <c r="A39" s="21" t="inlineStr">
        <is>
          <t>4. Funding-implied / unicorn mark</t>
        </is>
      </c>
      <c r="B39" s="27">
        <f>MIN(F28:F29,B30)</f>
        <v/>
      </c>
      <c r="C39" s="27">
        <f>MAX(F28:F29,D30)</f>
        <v/>
      </c>
      <c r="D39" s="27">
        <f>(B39+C39)/2</f>
        <v/>
      </c>
      <c r="E39" s="8" t="inlineStr">
        <is>
          <t>High</t>
        </is>
      </c>
      <c r="F39" s="21" t="inlineStr">
        <is>
          <t>What the last private rounds actually priced.</t>
        </is>
      </c>
      <c r="H39" s="27">
        <f>C39-B39</f>
        <v/>
      </c>
    </row>
    <row r="41">
      <c r="A41" s="15" t="inlineStr">
        <is>
          <t>CONCLUDED FAIR-VALUE RANGE (today)</t>
        </is>
      </c>
      <c r="B41" s="31" t="n">
        <v>48</v>
      </c>
      <c r="C41" s="31" t="n">
        <v>72</v>
      </c>
      <c r="D41" s="28">
        <f>(B41+C41)/2</f>
        <v/>
      </c>
      <c r="E41" s="16" t="n"/>
      <c r="F41" s="94" t="inlineStr">
        <is>
          <t>← Updated: volume adjusted to doubling trend (48万/yr base)</t>
        </is>
      </c>
    </row>
  </sheetData>
  <mergeCells count="8">
    <mergeCell ref="A24:F24"/>
    <mergeCell ref="A2:F2"/>
    <mergeCell ref="A33:F33"/>
    <mergeCell ref="A1:F1"/>
    <mergeCell ref="A12:F12"/>
    <mergeCell ref="A4:F4"/>
    <mergeCell ref="A26:F26"/>
    <mergeCell ref="A20:F20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 ht="24" customHeight="1">
      <c r="A1" s="1" t="inlineStr">
        <is>
          <t>航天驭星 — UNIT ECONOMICS  (TT&amp;C service line; supporting pillar for comps)</t>
        </is>
      </c>
    </row>
    <row r="2" ht="26" customHeight="1">
      <c r="A2" s="32" t="inlineStr">
        <is>
          <t>Capacity-infra model, NOT SaaS. Analogs: satellite pass = usage unit · ground station = capacity/asset unit · satellite operator = customer · in-orbit life = contract life. ALL figures = ESTIMATES (no disclosure); KSAT-benchmarked.</t>
        </is>
      </c>
    </row>
    <row r="3" ht="42" customHeight="1">
      <c r="A3" s="4" t="inlineStr">
        <is>
          <t>Metric</t>
        </is>
      </c>
      <c r="B3" s="4" t="inlineStr">
        <is>
          <t>Unit</t>
        </is>
      </c>
      <c r="C3" s="4" t="inlineStr">
        <is>
          <t>Current / Base</t>
        </is>
      </c>
      <c r="D3" s="4" t="inlineStr">
        <is>
          <t>Mature / full util</t>
        </is>
      </c>
    </row>
    <row r="4">
      <c r="A4" s="5" t="inlineStr">
        <is>
          <t>A — STATION-LEVEL ECONOMICS  (the capacity / asset unit)</t>
        </is>
      </c>
    </row>
    <row r="5">
      <c r="A5" s="21" t="inlineStr">
        <is>
          <t>Ground stations (套)</t>
        </is>
      </c>
      <c r="B5" s="22" t="inlineStr">
        <is>
          <t>#</t>
        </is>
      </c>
      <c r="C5" s="9" t="n">
        <v>60</v>
      </c>
    </row>
    <row r="6">
      <c r="A6" s="21" t="inlineStr">
        <is>
          <t>Annual TT&amp;C service revenue</t>
        </is>
      </c>
      <c r="B6" s="22" t="inlineStr">
        <is>
          <t>¥mm</t>
        </is>
      </c>
      <c r="C6" s="27">
        <f>'Target Revenue Build'!D8</f>
        <v/>
      </c>
    </row>
    <row r="7">
      <c r="A7" s="21" t="inlineStr">
        <is>
          <t>Revenue per station</t>
        </is>
      </c>
      <c r="B7" s="22" t="inlineStr">
        <is>
          <t>¥mm</t>
        </is>
      </c>
      <c r="C7" s="27">
        <f>C6/C5</f>
        <v/>
      </c>
    </row>
    <row r="8">
      <c r="A8" s="21" t="inlineStr">
        <is>
          <t>TT&amp;C passes (2025E)</t>
        </is>
      </c>
      <c r="B8" s="22" t="inlineStr">
        <is>
          <t>k 轨次</t>
        </is>
      </c>
      <c r="C8" s="12">
        <f>'Target Revenue Build'!D6</f>
        <v/>
      </c>
    </row>
    <row r="9">
      <c r="A9" s="21" t="inlineStr">
        <is>
          <t>Passes per station / yr</t>
        </is>
      </c>
      <c r="B9" s="22" t="inlineStr">
        <is>
          <t>#</t>
        </is>
      </c>
      <c r="C9" s="12">
        <f>C8*1000/C5</f>
        <v/>
      </c>
    </row>
    <row r="10">
      <c r="A10" s="21" t="inlineStr">
        <is>
          <t>Passes per station / day</t>
        </is>
      </c>
      <c r="B10" s="22" t="inlineStr">
        <is>
          <t>#</t>
        </is>
      </c>
      <c r="C10" s="27">
        <f>C9/365</f>
        <v/>
      </c>
    </row>
    <row r="11">
      <c r="A11" s="21" t="inlineStr">
        <is>
          <t>Theoretical max passes / station / day</t>
        </is>
      </c>
      <c r="B11" s="22" t="inlineStr">
        <is>
          <t>#</t>
        </is>
      </c>
      <c r="C11" s="9" t="n">
        <v>40</v>
      </c>
    </row>
    <row r="12">
      <c r="A12" s="21" t="inlineStr">
        <is>
          <t>Station utilization %</t>
        </is>
      </c>
      <c r="B12" s="22" t="inlineStr">
        <is>
          <t>%</t>
        </is>
      </c>
      <c r="C12" s="11">
        <f>C10/C11</f>
        <v/>
      </c>
    </row>
    <row r="13">
      <c r="A13" s="21" t="inlineStr">
        <is>
          <t>Implied revenue / station at 100% util</t>
        </is>
      </c>
      <c r="B13" s="22" t="inlineStr">
        <is>
          <t>¥mm</t>
        </is>
      </c>
      <c r="C13" s="27">
        <f>C7/C12</f>
        <v/>
      </c>
    </row>
    <row r="15">
      <c r="A15" s="21" t="inlineStr">
        <is>
          <t>Capex per station</t>
        </is>
      </c>
      <c r="B15" s="22" t="inlineStr">
        <is>
          <t>¥mm</t>
        </is>
      </c>
      <c r="C15" s="29" t="n">
        <v>15</v>
      </c>
    </row>
    <row r="16">
      <c r="A16" s="21" t="inlineStr">
        <is>
          <t>Total network capex (implied)</t>
        </is>
      </c>
      <c r="B16" s="22" t="inlineStr">
        <is>
          <t>¥mm</t>
        </is>
      </c>
      <c r="C16" s="12">
        <f>C5*C15</f>
        <v/>
      </c>
    </row>
    <row r="17">
      <c r="A17" s="21" t="inlineStr">
        <is>
          <t>Station contribution margin %</t>
        </is>
      </c>
      <c r="B17" s="22" t="inlineStr">
        <is>
          <t>%</t>
        </is>
      </c>
      <c r="C17" s="10" t="n">
        <v>0.6</v>
      </c>
    </row>
    <row r="18">
      <c r="A18" s="21" t="inlineStr">
        <is>
          <t>Contribution per station — current</t>
        </is>
      </c>
      <c r="B18" s="22" t="inlineStr">
        <is>
          <t>¥mm</t>
        </is>
      </c>
      <c r="C18" s="27">
        <f>C7*C17</f>
        <v/>
      </c>
    </row>
    <row r="19">
      <c r="A19" s="21" t="inlineStr">
        <is>
          <t>Simple payback — current util</t>
        </is>
      </c>
      <c r="B19" s="22" t="inlineStr">
        <is>
          <t>yrs</t>
        </is>
      </c>
      <c r="C19" s="27">
        <f>C15/C18</f>
        <v/>
      </c>
    </row>
    <row r="20">
      <c r="A20" s="21" t="inlineStr">
        <is>
          <t>Contribution per station — full util</t>
        </is>
      </c>
      <c r="B20" s="22" t="inlineStr">
        <is>
          <t>¥mm</t>
        </is>
      </c>
      <c r="C20" s="27">
        <f>C13*C17</f>
        <v/>
      </c>
    </row>
    <row r="21">
      <c r="A21" s="21" t="inlineStr">
        <is>
          <t>Simple payback — full util</t>
        </is>
      </c>
      <c r="B21" s="22" t="inlineStr">
        <is>
          <t>yrs</t>
        </is>
      </c>
      <c r="C21" s="27">
        <f>C15/C20</f>
        <v/>
      </c>
    </row>
    <row r="22">
      <c r="A22" s="21" t="inlineStr">
        <is>
          <t>Pre-tax ROIC — current util</t>
        </is>
      </c>
      <c r="B22" s="22" t="inlineStr">
        <is>
          <t>%</t>
        </is>
      </c>
      <c r="C22" s="11">
        <f>C18/C15</f>
        <v/>
      </c>
    </row>
    <row r="23">
      <c r="A23" s="7" t="inlineStr">
        <is>
          <t>Pre-tax ROIC — full util</t>
        </is>
      </c>
      <c r="B23" s="22" t="inlineStr">
        <is>
          <t>%</t>
        </is>
      </c>
      <c r="C23" s="33">
        <f>C20/C15</f>
        <v/>
      </c>
    </row>
    <row r="25">
      <c r="A25" s="5" t="inlineStr">
        <is>
          <t>B — PASS-LEVEL ECONOMICS  (the usage unit → marginal economics)</t>
        </is>
      </c>
    </row>
    <row r="26">
      <c r="A26" s="21" t="inlineStr">
        <is>
          <t>Revenue per pass</t>
        </is>
      </c>
      <c r="B26" s="22" t="inlineStr">
        <is>
          <t>¥</t>
        </is>
      </c>
      <c r="C26" s="12">
        <f>'Target Revenue Build'!D7</f>
        <v/>
      </c>
    </row>
    <row r="27">
      <c r="A27" s="21" t="inlineStr">
        <is>
          <t>Marginal cost per pass</t>
        </is>
      </c>
      <c r="B27" s="22" t="inlineStr">
        <is>
          <t>¥</t>
        </is>
      </c>
      <c r="C27" s="9" t="n">
        <v>100</v>
      </c>
    </row>
    <row r="28">
      <c r="A28" s="21" t="inlineStr">
        <is>
          <t>Contribution per pass</t>
        </is>
      </c>
      <c r="B28" s="22" t="inlineStr">
        <is>
          <t>¥</t>
        </is>
      </c>
      <c r="C28" s="12">
        <f>C26-C27</f>
        <v/>
      </c>
    </row>
    <row r="29">
      <c r="A29" s="7" t="inlineStr">
        <is>
          <t>Incremental contribution margin %</t>
        </is>
      </c>
      <c r="B29" s="22" t="inlineStr">
        <is>
          <t>%</t>
        </is>
      </c>
      <c r="C29" s="33">
        <f>C28/C26</f>
        <v/>
      </c>
    </row>
    <row r="31">
      <c r="A31" s="5" t="inlineStr">
        <is>
          <t>C — PER-SATELLITE 'CUSTOMER' LTV</t>
        </is>
      </c>
    </row>
    <row r="32">
      <c r="A32" s="21" t="inlineStr">
        <is>
          <t>Annual active satellites under service</t>
        </is>
      </c>
      <c r="B32" s="22" t="inlineStr">
        <is>
          <t>#</t>
        </is>
      </c>
      <c r="C32" s="9" t="n">
        <v>400</v>
      </c>
      <c r="D32" s="84" t="inlineStr">
        <is>
          <t>← 公司PR: 360+颗(2024)，持续增长</t>
        </is>
      </c>
    </row>
    <row r="33">
      <c r="A33" s="21" t="inlineStr">
        <is>
          <t>Passes per satellite / yr</t>
        </is>
      </c>
      <c r="B33" s="22" t="inlineStr">
        <is>
          <t>#</t>
        </is>
      </c>
      <c r="C33" s="12">
        <f>C8*1000/C32</f>
        <v/>
      </c>
    </row>
    <row r="34">
      <c r="A34" s="21" t="inlineStr">
        <is>
          <t>ARPU per satellite / yr</t>
        </is>
      </c>
      <c r="B34" s="22" t="inlineStr">
        <is>
          <t>¥mm</t>
        </is>
      </c>
      <c r="C34" s="27">
        <f>C6/C32</f>
        <v/>
      </c>
    </row>
    <row r="35">
      <c r="A35" s="21" t="inlineStr">
        <is>
          <t>Avg in-orbit service life</t>
        </is>
      </c>
      <c r="B35" s="22" t="inlineStr">
        <is>
          <t>yrs</t>
        </is>
      </c>
      <c r="C35" s="29" t="n">
        <v>5</v>
      </c>
    </row>
    <row r="36">
      <c r="A36" s="21" t="inlineStr">
        <is>
          <t>Service gross contribution margin %</t>
        </is>
      </c>
      <c r="B36" s="22" t="inlineStr">
        <is>
          <t>%</t>
        </is>
      </c>
      <c r="C36" s="10" t="n">
        <v>0.7</v>
      </c>
    </row>
    <row r="37">
      <c r="A37" s="21" t="inlineStr">
        <is>
          <t>LTV per satellite (undiscounted)</t>
        </is>
      </c>
      <c r="B37" s="22" t="inlineStr">
        <is>
          <t>¥mm</t>
        </is>
      </c>
      <c r="C37" s="27">
        <f>C34*C35*C36</f>
        <v/>
      </c>
    </row>
    <row r="38">
      <c r="A38" s="21" t="inlineStr">
        <is>
          <t>Discount rate</t>
        </is>
      </c>
      <c r="B38" s="22" t="inlineStr">
        <is>
          <t>%</t>
        </is>
      </c>
      <c r="C38" s="10" t="n">
        <v>0.15</v>
      </c>
    </row>
    <row r="39">
      <c r="A39" s="7" t="inlineStr">
        <is>
          <t>LTV per satellite (PV)</t>
        </is>
      </c>
      <c r="B39" s="22" t="inlineStr">
        <is>
          <t>¥mm</t>
        </is>
      </c>
      <c r="C39" s="34">
        <f>C34*C36*(1-(1+C38)^(-C35))/C38</f>
        <v/>
      </c>
    </row>
    <row r="40">
      <c r="A40" s="21" t="inlineStr">
        <is>
          <t>CAC per satellite (onboarding)</t>
        </is>
      </c>
      <c r="B40" s="22" t="inlineStr">
        <is>
          <t>¥mm</t>
        </is>
      </c>
      <c r="C40" s="29" t="n">
        <v>0.2</v>
      </c>
    </row>
    <row r="41">
      <c r="A41" s="21" t="inlineStr">
        <is>
          <t>LTV / CAC (undiscounted)</t>
        </is>
      </c>
      <c r="B41" s="22" t="inlineStr">
        <is>
          <t>x</t>
        </is>
      </c>
      <c r="C41" s="13">
        <f>C37/C40</f>
        <v/>
      </c>
    </row>
    <row r="42">
      <c r="A42" s="7" t="inlineStr">
        <is>
          <t>LTV / CAC (PV)</t>
        </is>
      </c>
      <c r="B42" s="22" t="inlineStr">
        <is>
          <t>x</t>
        </is>
      </c>
      <c r="C42" s="35">
        <f>C39/C40</f>
        <v/>
      </c>
    </row>
    <row r="44">
      <c r="A44" s="5" t="inlineStr">
        <is>
          <t>D — RETENTION &amp; REVENUE QUALITY</t>
        </is>
      </c>
    </row>
    <row r="45">
      <c r="A45" s="21" t="inlineStr">
        <is>
          <t>Gross satellite retention / yr</t>
        </is>
      </c>
      <c r="B45" s="22" t="inlineStr">
        <is>
          <t>%</t>
        </is>
      </c>
      <c r="C45" s="10" t="n">
        <v>0.85</v>
      </c>
    </row>
    <row r="46">
      <c r="A46" s="21" t="inlineStr">
        <is>
          <t>Net revenue retention (constellation build)</t>
        </is>
      </c>
      <c r="B46" s="22" t="inlineStr">
        <is>
          <t>%</t>
        </is>
      </c>
      <c r="C46" s="10" t="n">
        <v>1.6</v>
      </c>
    </row>
    <row r="47">
      <c r="A47" s="21" t="inlineStr">
        <is>
          <t>Recurring mix (service + data)</t>
        </is>
      </c>
      <c r="B47" s="22" t="inlineStr">
        <is>
          <t>%</t>
        </is>
      </c>
      <c r="C47" s="11">
        <f>('Target Revenue Build'!D8+'Target Revenue Build'!D12)/'Target Revenue Build'!D14</f>
        <v/>
      </c>
    </row>
    <row r="48">
      <c r="A48" s="21" t="inlineStr">
        <is>
          <t>Project mix (equipment)</t>
        </is>
      </c>
      <c r="B48" s="22" t="inlineStr">
        <is>
          <t>%</t>
        </is>
      </c>
      <c r="C48" s="11">
        <f>'Target Revenue Build'!D10/'Target Revenue Build'!D14</f>
        <v/>
      </c>
    </row>
    <row r="49">
      <c r="A49" s="21" t="inlineStr">
        <is>
          <t>Customer concentration</t>
        </is>
      </c>
      <c r="B49" s="22" t="inlineStr">
        <is>
          <t>—</t>
        </is>
      </c>
      <c r="C49" s="36" t="inlineStr">
        <is>
          <t>GW + 千帆 = majority (HIGH)</t>
        </is>
      </c>
    </row>
    <row r="50">
      <c r="A50" s="21" t="inlineStr">
        <is>
          <t>Backlog / visibility (KSAT benchmark)</t>
        </is>
      </c>
      <c r="B50" s="22" t="inlineStr">
        <is>
          <t>x rev</t>
        </is>
      </c>
      <c r="C50" s="26" t="n">
        <v>3.7</v>
      </c>
    </row>
    <row r="52">
      <c r="A52" s="5" t="inlineStr">
        <is>
          <t>E — OPERATING-LEVERAGE BRIDGE  (service network: current util → full util)</t>
        </is>
      </c>
    </row>
    <row r="53">
      <c r="A53" s="21" t="inlineStr">
        <is>
          <t>Service revenue</t>
        </is>
      </c>
      <c r="B53" s="22" t="inlineStr">
        <is>
          <t>¥mm</t>
        </is>
      </c>
      <c r="C53" s="12">
        <f>C6</f>
        <v/>
      </c>
      <c r="D53" s="12">
        <f>C13*C5</f>
        <v/>
      </c>
    </row>
    <row r="54">
      <c r="A54" s="21" t="inlineStr">
        <is>
          <t>Station contribution</t>
        </is>
      </c>
      <c r="B54" s="22" t="inlineStr">
        <is>
          <t>¥mm</t>
        </is>
      </c>
      <c r="C54" s="12">
        <f>C53*C17</f>
        <v/>
      </c>
      <c r="D54" s="12">
        <f>D53*C17</f>
        <v/>
      </c>
    </row>
    <row r="55">
      <c r="A55" s="21" t="inlineStr">
        <is>
          <t>Corporate / non-station fixed cost</t>
        </is>
      </c>
      <c r="B55" s="22" t="inlineStr">
        <is>
          <t>¥mm</t>
        </is>
      </c>
      <c r="C55" s="9" t="n">
        <v>70</v>
      </c>
      <c r="D55" s="12">
        <f>C55</f>
        <v/>
      </c>
    </row>
    <row r="56">
      <c r="A56" s="7" t="inlineStr">
        <is>
          <t>Network EBITDA</t>
        </is>
      </c>
      <c r="B56" s="22" t="inlineStr">
        <is>
          <t>¥mm</t>
        </is>
      </c>
      <c r="C56" s="23">
        <f>C54-C55</f>
        <v/>
      </c>
      <c r="D56" s="23">
        <f>D54-D55</f>
        <v/>
      </c>
    </row>
    <row r="57">
      <c r="A57" s="21" t="inlineStr">
        <is>
          <t>EBITDA margin %</t>
        </is>
      </c>
      <c r="B57" s="22" t="inlineStr">
        <is>
          <t>%</t>
        </is>
      </c>
      <c r="C57" s="11">
        <f>C56/C53</f>
        <v/>
      </c>
      <c r="D57" s="11">
        <f>D56/D53</f>
        <v/>
      </c>
    </row>
    <row r="58">
      <c r="A58" s="21" t="inlineStr">
        <is>
          <t>D&amp;A (network, ~10-yr life)</t>
        </is>
      </c>
      <c r="B58" s="22" t="inlineStr">
        <is>
          <t>¥mm</t>
        </is>
      </c>
      <c r="C58" s="12">
        <f>C16/10</f>
        <v/>
      </c>
      <c r="D58" s="12">
        <f>C16/10</f>
        <v/>
      </c>
    </row>
    <row r="59">
      <c r="A59" s="7" t="inlineStr">
        <is>
          <t>Network EBIT</t>
        </is>
      </c>
      <c r="B59" s="22" t="inlineStr">
        <is>
          <t>¥mm</t>
        </is>
      </c>
      <c r="C59" s="23">
        <f>C56-C58</f>
        <v/>
      </c>
      <c r="D59" s="23">
        <f>D56-D58</f>
        <v/>
      </c>
    </row>
    <row r="60">
      <c r="A60" s="7" t="inlineStr">
        <is>
          <t>EBIT margin %</t>
        </is>
      </c>
      <c r="B60" s="22" t="inlineStr">
        <is>
          <t>%</t>
        </is>
      </c>
      <c r="C60" s="33">
        <f>C59/C53</f>
        <v/>
      </c>
      <c r="D60" s="33">
        <f>D59/D53</f>
        <v/>
      </c>
    </row>
    <row r="62" ht="56" customHeight="1">
      <c r="A62" s="19" t="inlineStr">
        <is>
          <t>⚠ READ-ACROSS TO COMPS: at today's low station utilization the service network barely covers (or under-covers) its own depreciation — i.e. it is under-earning by design during build-out. The same fixed asset base swings to a ~35%+ EBIT margin as passes fill it. This is the quantified version of the comps finding that the ¥60-70亿 mark is a FORWARD bet on utilization, not a current-earnings valuation.</t>
        </is>
      </c>
    </row>
  </sheetData>
  <mergeCells count="8">
    <mergeCell ref="A1:D1"/>
    <mergeCell ref="A31:D31"/>
    <mergeCell ref="A4:D4"/>
    <mergeCell ref="A62:D62"/>
    <mergeCell ref="A52:D52"/>
    <mergeCell ref="A25:D25"/>
    <mergeCell ref="A2:D2"/>
    <mergeCell ref="A44:D44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41" t="inlineStr">
        <is>
          <t>航天驭星 — WACC ANALYSIS</t>
        </is>
      </c>
    </row>
    <row r="2">
      <c r="A2" s="42" t="inlineStr">
        <is>
          <t>Replaces 20% ad-hoc with fundamentally derived WACC from comparable companies.</t>
        </is>
      </c>
    </row>
    <row r="3">
      <c r="A3" s="43" t="inlineStr">
        <is>
          <t>BLUE = hardcoded input · BLACK = formula · GREEN = concluded output</t>
        </is>
      </c>
    </row>
    <row r="5">
      <c r="A5" s="44" t="inlineStr">
        <is>
          <t>STEP 1 — UNLEVERED BETA FROM COMPS</t>
        </is>
      </c>
    </row>
    <row r="6">
      <c r="A6" s="42" t="inlineStr">
        <is>
          <t>β_unlevered = β_levered / [1 + (1 − Tax) × (D / E)]   |   D/E uses Net Debt (floored at 0, i.e. net-cash firms → D/E = 0)</t>
        </is>
      </c>
    </row>
    <row r="8">
      <c r="A8" s="45" t="inlineStr">
        <is>
          <t>Company</t>
        </is>
      </c>
      <c r="B8" s="45" t="inlineStr">
        <is>
          <t>Ticker</t>
        </is>
      </c>
      <c r="C8" s="45" t="inlineStr">
        <is>
          <t>β Levered (5Y)</t>
        </is>
      </c>
      <c r="D8" s="45" t="inlineStr">
        <is>
          <t>Mkt Cap ($mm)</t>
        </is>
      </c>
      <c r="E8" s="45" t="inlineStr">
        <is>
          <t>Net Debt ($mm)</t>
        </is>
      </c>
      <c r="F8" s="45" t="inlineStr">
        <is>
          <t>D/E</t>
        </is>
      </c>
      <c r="G8" s="45" t="inlineStr">
        <is>
          <t>Tax Rate</t>
        </is>
      </c>
      <c r="H8" s="45" t="inlineStr">
        <is>
          <t>β Unlevered</t>
        </is>
      </c>
    </row>
    <row r="9">
      <c r="A9" s="46" t="inlineStr">
        <is>
          <t>— GROUND SEGMENT —</t>
        </is>
      </c>
    </row>
    <row r="10">
      <c r="A10" s="47" t="inlineStr">
        <is>
          <t>Kratos Defense</t>
        </is>
      </c>
      <c r="B10" s="47" t="inlineStr">
        <is>
          <t>KTOS</t>
        </is>
      </c>
      <c r="C10" s="48" t="n">
        <v>1.06</v>
      </c>
      <c r="D10" s="49" t="n">
        <v>11300</v>
      </c>
      <c r="E10" s="49" t="n">
        <v>-100</v>
      </c>
      <c r="F10" s="50" t="n">
        <v>0</v>
      </c>
      <c r="G10" s="51" t="n">
        <v>0.21</v>
      </c>
      <c r="H10" s="52" t="n">
        <v>1.06</v>
      </c>
    </row>
    <row r="11">
      <c r="A11" s="47" t="inlineStr">
        <is>
          <t>Gilat Satellite</t>
        </is>
      </c>
      <c r="B11" s="47" t="inlineStr">
        <is>
          <t>GILT</t>
        </is>
      </c>
      <c r="C11" s="48" t="n">
        <v>0.91</v>
      </c>
      <c r="D11" s="49" t="n">
        <v>650</v>
      </c>
      <c r="E11" s="49" t="n">
        <v>-60</v>
      </c>
      <c r="F11" s="50" t="n">
        <v>0</v>
      </c>
      <c r="G11" s="51" t="n">
        <v>0.23</v>
      </c>
      <c r="H11" s="52" t="n">
        <v>0.91</v>
      </c>
    </row>
    <row r="12">
      <c r="A12" s="53" t="inlineStr">
        <is>
          <t>Comtech ⚠ distressed</t>
        </is>
      </c>
      <c r="B12" s="53" t="inlineStr">
        <is>
          <t>CMTL</t>
        </is>
      </c>
      <c r="C12" s="54" t="n">
        <v>1.05</v>
      </c>
      <c r="D12" s="55" t="n">
        <v>120</v>
      </c>
      <c r="E12" s="55" t="n">
        <v>250</v>
      </c>
      <c r="F12" s="56" t="n">
        <v>2.083333333333333</v>
      </c>
      <c r="G12" s="57" t="n">
        <v>0.21</v>
      </c>
      <c r="H12" s="54" t="n">
        <v>0.3968503937007874</v>
      </c>
    </row>
    <row r="13">
      <c r="A13" s="46" t="inlineStr">
        <is>
          <t>— OPERATORS —</t>
        </is>
      </c>
    </row>
    <row r="14">
      <c r="A14" s="47" t="inlineStr">
        <is>
          <t>Iridium</t>
        </is>
      </c>
      <c r="B14" s="47" t="inlineStr">
        <is>
          <t>IRDM</t>
        </is>
      </c>
      <c r="C14" s="48" t="n">
        <v>0.89</v>
      </c>
      <c r="D14" s="49" t="n">
        <v>2900</v>
      </c>
      <c r="E14" s="49" t="n">
        <v>1500</v>
      </c>
      <c r="F14" s="50" t="n">
        <v>0.5172413793103449</v>
      </c>
      <c r="G14" s="51" t="n">
        <v>0.21</v>
      </c>
      <c r="H14" s="52" t="n">
        <v>0.6318237454100367</v>
      </c>
    </row>
    <row r="15">
      <c r="A15" s="47" t="inlineStr">
        <is>
          <t>Viasat</t>
        </is>
      </c>
      <c r="B15" s="47" t="inlineStr">
        <is>
          <t>VSAT</t>
        </is>
      </c>
      <c r="C15" s="48" t="n">
        <v>1.05</v>
      </c>
      <c r="D15" s="49" t="n">
        <v>3800</v>
      </c>
      <c r="E15" s="49" t="n">
        <v>5700</v>
      </c>
      <c r="F15" s="50" t="n">
        <v>1.5</v>
      </c>
      <c r="G15" s="51" t="n">
        <v>0.21</v>
      </c>
      <c r="H15" s="52" t="n">
        <v>0.4805491990846682</v>
      </c>
    </row>
    <row r="16">
      <c r="A16" s="47" t="inlineStr">
        <is>
          <t>SES</t>
        </is>
      </c>
      <c r="B16" s="47" t="inlineStr">
        <is>
          <t>SESG.PA</t>
        </is>
      </c>
      <c r="C16" s="48" t="n">
        <v>0.75</v>
      </c>
      <c r="D16" s="49" t="n">
        <v>3240</v>
      </c>
      <c r="E16" s="49" t="n">
        <v>3400</v>
      </c>
      <c r="F16" s="50" t="n">
        <v>1.049382716049383</v>
      </c>
      <c r="G16" s="51" t="n">
        <v>0.25</v>
      </c>
      <c r="H16" s="52" t="n">
        <v>0.4196891191709844</v>
      </c>
    </row>
    <row r="17">
      <c r="A17" s="53" t="inlineStr">
        <is>
          <t>Globalstar ⚠ outlier</t>
        </is>
      </c>
      <c r="B17" s="53" t="inlineStr">
        <is>
          <t>GSAT</t>
        </is>
      </c>
      <c r="C17" s="54" t="n">
        <v>1.7</v>
      </c>
      <c r="D17" s="55" t="n">
        <v>3200</v>
      </c>
      <c r="E17" s="55" t="n">
        <v>300</v>
      </c>
      <c r="F17" s="56" t="n">
        <v>0.09375</v>
      </c>
      <c r="G17" s="57" t="n">
        <v>0.21</v>
      </c>
      <c r="H17" s="54" t="n">
        <v>1.582775676462031</v>
      </c>
    </row>
    <row r="18">
      <c r="A18" s="53" t="inlineStr">
        <is>
          <t>Rocket Lab ⚠ extreme</t>
        </is>
      </c>
      <c r="B18" s="53" t="inlineStr">
        <is>
          <t>RKLB</t>
        </is>
      </c>
      <c r="C18" s="54" t="n">
        <v>2</v>
      </c>
      <c r="D18" s="55" t="n">
        <v>20000</v>
      </c>
      <c r="E18" s="55" t="n">
        <v>-400</v>
      </c>
      <c r="F18" s="56" t="n">
        <v>0</v>
      </c>
      <c r="G18" s="57" t="n">
        <v>0.21</v>
      </c>
      <c r="H18" s="54" t="n">
        <v>2</v>
      </c>
    </row>
    <row r="20">
      <c r="A20" s="58" t="inlineStr">
        <is>
          <t>UNLEVERED BETA STATISTICS (excl. ⚠)</t>
        </is>
      </c>
    </row>
    <row r="21">
      <c r="A21" s="47" t="inlineStr">
        <is>
          <t>Ground segment median</t>
        </is>
      </c>
      <c r="H21" s="52" t="n">
        <v>0.9850000000000001</v>
      </c>
    </row>
    <row r="22">
      <c r="A22" s="47" t="inlineStr">
        <is>
          <t>Ground segment mean</t>
        </is>
      </c>
      <c r="H22" s="52" t="n">
        <v>0.9850000000000001</v>
      </c>
    </row>
    <row r="23">
      <c r="A23" s="47" t="inlineStr">
        <is>
          <t>Operators median</t>
        </is>
      </c>
      <c r="H23" s="52" t="n">
        <v>0.4805491990846682</v>
      </c>
    </row>
    <row r="24">
      <c r="A24" s="47" t="inlineStr">
        <is>
          <t>All comps median</t>
        </is>
      </c>
      <c r="H24" s="52" t="n">
        <v>0.6318237454100367</v>
      </c>
    </row>
    <row r="25">
      <c r="A25" s="47" t="inlineStr">
        <is>
          <t>All comps mean</t>
        </is>
      </c>
      <c r="H25" s="52" t="n">
        <v>0.7004124127331379</v>
      </c>
    </row>
    <row r="27">
      <c r="A27" s="59" t="inlineStr">
        <is>
          <t>SELECTED UNLEVERED BETA</t>
        </is>
      </c>
      <c r="H27" s="60" t="n">
        <v>0.98</v>
      </c>
    </row>
    <row r="28">
      <c r="A28" s="42" t="inlineStr">
        <is>
          <t>Weighted toward ground median (0.99); business ~60% equipment + ~40% recurring service.</t>
        </is>
      </c>
    </row>
    <row r="31">
      <c r="A31" s="44" t="inlineStr">
        <is>
          <t>STEP 2 — CAPM COST OF EQUITY (RMB-denominated)</t>
        </is>
      </c>
    </row>
    <row r="33">
      <c r="A33" s="45" t="inlineStr">
        <is>
          <t>Input</t>
        </is>
      </c>
      <c r="B33" s="45" t="inlineStr">
        <is>
          <t>Value</t>
        </is>
      </c>
      <c r="C33" s="45" t="inlineStr">
        <is>
          <t>Source</t>
        </is>
      </c>
    </row>
    <row r="34">
      <c r="A34" s="47" t="inlineStr">
        <is>
          <t>Risk-Free Rate (Rf)</t>
        </is>
      </c>
      <c r="B34" s="61" t="n">
        <v>0.0175</v>
      </c>
      <c r="C34" s="62" t="inlineStr">
        <is>
          <t>China 10Y CGB yield, Jun-2026 (1.72-1.75%)</t>
        </is>
      </c>
    </row>
    <row r="35">
      <c r="A35" s="47" t="inlineStr">
        <is>
          <t>Equity Risk Premium (ERP)</t>
        </is>
      </c>
      <c r="B35" s="61" t="n">
        <v>0.0514</v>
      </c>
      <c r="C35" s="62" t="inlineStr">
        <is>
          <t>Damodaran Jan-2026: mature 4.23% + China country 0.91%</t>
        </is>
      </c>
    </row>
    <row r="36">
      <c r="A36" s="47" t="inlineStr">
        <is>
          <t>Unlevered Beta (β_u)</t>
        </is>
      </c>
      <c r="B36" s="48" t="n">
        <v>0.98</v>
      </c>
      <c r="C36" s="62" t="inlineStr">
        <is>
          <t>Step 1</t>
        </is>
      </c>
    </row>
    <row r="37">
      <c r="A37" s="47" t="inlineStr">
        <is>
          <t>Target D/E</t>
        </is>
      </c>
      <c r="B37" s="48" t="n">
        <v>0.05</v>
      </c>
      <c r="C37" s="62" t="inlineStr">
        <is>
          <t>Near-zero; all-equity pre-IPO, minimal post-IPO leverage</t>
        </is>
      </c>
    </row>
    <row r="38">
      <c r="A38" s="47" t="inlineStr">
        <is>
          <t>Tax Rate</t>
        </is>
      </c>
      <c r="B38" s="51" t="n">
        <v>0.15</v>
      </c>
      <c r="C38" s="62" t="inlineStr">
        <is>
          <t>High-tech enterprise preferential (15% vs standard 25%)</t>
        </is>
      </c>
    </row>
    <row r="39">
      <c r="A39" s="47" t="inlineStr">
        <is>
          <t>Re-levered Beta (β_L)</t>
        </is>
      </c>
      <c r="B39" s="52" t="n">
        <v>1.02165</v>
      </c>
      <c r="C39" s="62" t="inlineStr">
        <is>
          <t>β_u × [1 + (1−t) × D/E]</t>
        </is>
      </c>
    </row>
    <row r="41">
      <c r="A41" s="63" t="inlineStr">
        <is>
          <t>CAPM Base Ke</t>
        </is>
      </c>
      <c r="B41" s="64" t="n">
        <v>0.07001281000000001</v>
      </c>
      <c r="C41" s="62" t="inlineStr">
        <is>
          <t>Rf + β_L × ERP</t>
        </is>
      </c>
    </row>
    <row r="44">
      <c r="A44" s="44" t="inlineStr">
        <is>
          <t>STEP 3 — ADDITIONAL RISK PREMIUMS</t>
        </is>
      </c>
    </row>
    <row r="45">
      <c r="A45" s="42" t="inlineStr">
        <is>
          <t>CAPM underestimates Ke for pre-IPO small-caps. Standard add-ons (Duff &amp; Phelps framework).</t>
        </is>
      </c>
    </row>
    <row r="47">
      <c r="A47" s="45" t="inlineStr">
        <is>
          <t>Premium</t>
        </is>
      </c>
      <c r="B47" s="45" t="inlineStr">
        <is>
          <t>Low</t>
        </is>
      </c>
      <c r="C47" s="45" t="inlineStr">
        <is>
          <t>Base</t>
        </is>
      </c>
      <c r="D47" s="45" t="inlineStr">
        <is>
          <t>High</t>
        </is>
      </c>
      <c r="E47" s="45" t="inlineStr">
        <is>
          <t>Rationale</t>
        </is>
      </c>
    </row>
    <row r="48">
      <c r="A48" s="47" t="inlineStr">
        <is>
          <t>Size Premium</t>
        </is>
      </c>
      <c r="B48" s="51" t="n">
        <v>0.025</v>
      </c>
      <c r="C48" s="51" t="n">
        <v>0.035</v>
      </c>
      <c r="D48" s="51" t="n">
        <v>0.045</v>
      </c>
      <c r="E48" s="62" t="inlineStr">
        <is>
          <t>EV ~¥40-70亿 = micro/small-cap; D&amp;P 10th decile 3-5%</t>
        </is>
      </c>
    </row>
    <row r="49">
      <c r="A49" s="47" t="inlineStr">
        <is>
          <t>Illiquidity / Pre-IPO</t>
        </is>
      </c>
      <c r="B49" s="51" t="n">
        <v>0.015</v>
      </c>
      <c r="C49" s="51" t="n">
        <v>0.025</v>
      </c>
      <c r="D49" s="51" t="n">
        <v>0.035</v>
      </c>
      <c r="E49" s="62" t="inlineStr">
        <is>
          <t>No public market; IPO filed not approved; 12-36mo lock-up</t>
        </is>
      </c>
    </row>
    <row r="50">
      <c r="A50" s="47" t="inlineStr">
        <is>
          <t>Company-Specific Risk</t>
        </is>
      </c>
      <c r="B50" s="51" t="n">
        <v>0.01</v>
      </c>
      <c r="C50" s="51" t="n">
        <v>0.015</v>
      </c>
      <c r="D50" s="51" t="n">
        <v>0.025</v>
      </c>
      <c r="E50" s="62" t="inlineStr">
        <is>
          <t>Key-man, pre-profit, limited disclosure, revenue concentration</t>
        </is>
      </c>
    </row>
    <row r="51">
      <c r="A51" s="63" t="inlineStr">
        <is>
          <t>Total Additional Premiums</t>
        </is>
      </c>
      <c r="B51" s="65" t="n">
        <v>0.05</v>
      </c>
      <c r="C51" s="65" t="n">
        <v>0.07500000000000001</v>
      </c>
      <c r="D51" s="65" t="n">
        <v>0.105</v>
      </c>
    </row>
    <row r="54">
      <c r="A54" s="44" t="inlineStr">
        <is>
          <t>STEP 4 — TOTAL COST OF EQUITY &amp; WACC</t>
        </is>
      </c>
    </row>
    <row r="56">
      <c r="A56" s="45" t="inlineStr">
        <is>
          <t>Component</t>
        </is>
      </c>
      <c r="B56" s="45" t="inlineStr">
        <is>
          <t>Low</t>
        </is>
      </c>
      <c r="C56" s="45" t="inlineStr">
        <is>
          <t>Base</t>
        </is>
      </c>
      <c r="D56" s="45" t="inlineStr">
        <is>
          <t>High</t>
        </is>
      </c>
    </row>
    <row r="57">
      <c r="A57" s="47" t="inlineStr">
        <is>
          <t>CAPM Base Ke</t>
        </is>
      </c>
      <c r="B57" s="66" t="n">
        <v>0.07001281000000001</v>
      </c>
      <c r="C57" s="66" t="n">
        <v>0.07001281000000001</v>
      </c>
      <c r="D57" s="66" t="n">
        <v>0.07001281000000001</v>
      </c>
    </row>
    <row r="58">
      <c r="A58" s="47" t="inlineStr">
        <is>
          <t>+ Additional Premiums</t>
        </is>
      </c>
      <c r="B58" s="67" t="n">
        <v>0.05</v>
      </c>
      <c r="C58" s="67" t="n">
        <v>0.07500000000000001</v>
      </c>
      <c r="D58" s="67" t="n">
        <v>0.105</v>
      </c>
    </row>
    <row r="59">
      <c r="A59" s="63">
        <f> Total Ke</f>
        <v/>
      </c>
      <c r="B59" s="65" t="n">
        <v>0.12001281</v>
      </c>
      <c r="C59" s="65" t="n">
        <v>0.14501281</v>
      </c>
      <c r="D59" s="65" t="n">
        <v>0.17501281</v>
      </c>
    </row>
    <row r="60">
      <c r="A60" s="47" t="inlineStr"/>
    </row>
    <row r="61">
      <c r="A61" s="47" t="inlineStr">
        <is>
          <t>Equity Weight E/(D+E)</t>
        </is>
      </c>
      <c r="B61" s="67" t="n">
        <v>0.9523809523809523</v>
      </c>
      <c r="C61" s="67" t="n">
        <v>0.9523809523809523</v>
      </c>
      <c r="D61" s="67" t="n">
        <v>0.9523809523809523</v>
      </c>
    </row>
    <row r="62">
      <c r="A62" s="47" t="inlineStr">
        <is>
          <t>Pre-Tax Kd</t>
        </is>
      </c>
      <c r="B62" s="67" t="n">
        <v>0.045</v>
      </c>
      <c r="C62" s="67" t="n">
        <v>0.045</v>
      </c>
      <c r="D62" s="67" t="n">
        <v>0.045</v>
      </c>
    </row>
    <row r="63">
      <c r="A63" s="47" t="inlineStr">
        <is>
          <t>After-Tax Kd × (1−t)</t>
        </is>
      </c>
      <c r="B63" s="67" t="n">
        <v>0.03825</v>
      </c>
      <c r="C63" s="67" t="n">
        <v>0.03825</v>
      </c>
      <c r="D63" s="67" t="n">
        <v>0.03825</v>
      </c>
    </row>
    <row r="64">
      <c r="A64" s="47" t="inlineStr">
        <is>
          <t>Debt Weight D/(D+E)</t>
        </is>
      </c>
      <c r="B64" s="67" t="n">
        <v>0.04761904761904762</v>
      </c>
      <c r="C64" s="67" t="n">
        <v>0.04761904761904762</v>
      </c>
      <c r="D64" s="67" t="n">
        <v>0.04761904761904762</v>
      </c>
    </row>
    <row r="66">
      <c r="A66" s="68" t="inlineStr">
        <is>
          <t>CONCLUDED WACC</t>
        </is>
      </c>
      <c r="B66" s="69" t="n">
        <v>0.1161193428571429</v>
      </c>
      <c r="C66" s="69" t="n">
        <v>0.1399288666666667</v>
      </c>
      <c r="D66" s="69" t="n">
        <v>0.1685002952380953</v>
      </c>
    </row>
    <row r="67">
      <c r="A67" s="70" t="inlineStr">
        <is>
          <t>vs. prior ad-hoc rate: 20.0%</t>
        </is>
      </c>
    </row>
    <row r="70">
      <c r="A70" s="44" t="inlineStr">
        <is>
          <t>STEP 5 — IMPACT ON METHOD 2b (2027E forward EV → PV today)</t>
        </is>
      </c>
    </row>
    <row r="72">
      <c r="A72" s="45" t="inlineStr">
        <is>
          <t>Metric</t>
        </is>
      </c>
      <c r="B72" s="45" t="inlineStr">
        <is>
          <t>Prior (20%)</t>
        </is>
      </c>
      <c r="C72" s="45" t="inlineStr">
        <is>
          <t>WACC Low</t>
        </is>
      </c>
      <c r="D72" s="45" t="inlineStr">
        <is>
          <t>WACC Base</t>
        </is>
      </c>
      <c r="E72" s="45" t="inlineStr">
        <is>
          <t>WACC High</t>
        </is>
      </c>
    </row>
    <row r="73">
      <c r="A73" s="47" t="inlineStr">
        <is>
          <t>Discount Rate</t>
        </is>
      </c>
      <c r="B73" s="71" t="n">
        <v>0.2</v>
      </c>
      <c r="C73" s="67" t="n">
        <v>0.1161193428571429</v>
      </c>
      <c r="D73" s="67" t="n">
        <v>0.1399288666666667</v>
      </c>
      <c r="E73" s="67" t="n">
        <v>0.1685002952380953</v>
      </c>
    </row>
    <row r="74">
      <c r="A74" s="47" t="inlineStr">
        <is>
          <t>PV Factor [1/(1+r)^2]</t>
        </is>
      </c>
      <c r="B74" s="72" t="n">
        <v>0.6944444444444444</v>
      </c>
      <c r="C74" s="50" t="n">
        <v>0.8027470727302091</v>
      </c>
      <c r="D74" s="50" t="n">
        <v>0.7695635634064432</v>
      </c>
      <c r="E74" s="50" t="n">
        <v>0.7323899009034437</v>
      </c>
    </row>
    <row r="75">
      <c r="A75" s="47" t="inlineStr"/>
      <c r="B75" s="73" t="inlineStr"/>
      <c r="C75" s="47" t="inlineStr"/>
      <c r="D75" s="47" t="inlineStr"/>
      <c r="E75" s="47" t="inlineStr"/>
    </row>
    <row r="76">
      <c r="A76" s="47" t="inlineStr">
        <is>
          <t>2027E Base EV (¥亿)</t>
        </is>
      </c>
      <c r="B76" s="74" t="n">
        <v>66.7</v>
      </c>
      <c r="C76" s="75" t="n">
        <v>66.7</v>
      </c>
      <c r="D76" s="75" t="n">
        <v>66.7</v>
      </c>
      <c r="E76" s="75" t="n">
        <v>66.7</v>
      </c>
    </row>
    <row r="77">
      <c r="A77" s="76" t="inlineStr">
        <is>
          <t>PV of 2027E EV (¥亿)</t>
        </is>
      </c>
      <c r="B77" s="77" t="n">
        <v>46.31944444444444</v>
      </c>
      <c r="C77" s="78" t="n">
        <v>53.54322975110495</v>
      </c>
      <c r="D77" s="78" t="n">
        <v>51.32988967920976</v>
      </c>
      <c r="E77" s="78" t="n">
        <v>48.8504063902597</v>
      </c>
    </row>
    <row r="79">
      <c r="A79" s="45" t="inlineStr">
        <is>
          <t>SENSITIVITY: PV (¥亿) across EV scenarios × WACC</t>
        </is>
      </c>
      <c r="C79" s="45" t="inlineStr">
        <is>
          <t>WACC Low</t>
        </is>
      </c>
      <c r="D79" s="45" t="inlineStr">
        <is>
          <t>WACC Base</t>
        </is>
      </c>
      <c r="E79" s="45" t="inlineStr">
        <is>
          <t>WACC High</t>
        </is>
      </c>
    </row>
    <row r="80">
      <c r="A80" s="47" t="inlineStr">
        <is>
          <t>2027E Low (¥55亿)</t>
        </is>
      </c>
      <c r="C80" s="75" t="n">
        <v>44.1510890001615</v>
      </c>
      <c r="D80" s="75" t="n">
        <v>42.32599598735437</v>
      </c>
      <c r="E80" s="75" t="n">
        <v>40.2814445496894</v>
      </c>
    </row>
    <row r="81">
      <c r="A81" s="47" t="inlineStr">
        <is>
          <t>2027E Base (¥66.7亿)</t>
        </is>
      </c>
      <c r="C81" s="75" t="n">
        <v>53.54322975110495</v>
      </c>
      <c r="D81" s="75" t="n">
        <v>51.32988967920976</v>
      </c>
      <c r="E81" s="75" t="n">
        <v>48.8504063902597</v>
      </c>
    </row>
    <row r="82">
      <c r="A82" s="47" t="inlineStr">
        <is>
          <t>2027E High (¥80亿)</t>
        </is>
      </c>
      <c r="C82" s="75" t="n">
        <v>64.21976581841673</v>
      </c>
      <c r="D82" s="75" t="n">
        <v>61.56508507251545</v>
      </c>
      <c r="E82" s="75" t="n">
        <v>58.5911920722755</v>
      </c>
    </row>
    <row r="85">
      <c r="A85" s="44" t="inlineStr">
        <is>
          <t>STEP 6 — UPDATED FOOTBALL FIELD (¥亿)</t>
        </is>
      </c>
    </row>
    <row r="87">
      <c r="A87" s="45" t="inlineStr">
        <is>
          <t>Method</t>
        </is>
      </c>
      <c r="B87" s="45" t="inlineStr">
        <is>
          <t>Low</t>
        </is>
      </c>
      <c r="C87" s="45" t="inlineStr">
        <is>
          <t>High</t>
        </is>
      </c>
      <c r="D87" s="45" t="inlineStr">
        <is>
          <t>Mid</t>
        </is>
      </c>
      <c r="E87" s="45" t="inlineStr">
        <is>
          <t>Conf.</t>
        </is>
      </c>
      <c r="F87" s="45" t="inlineStr">
        <is>
          <t>Change vs Prior</t>
        </is>
      </c>
    </row>
    <row r="88">
      <c r="A88" s="47" t="inlineStr">
        <is>
          <t>1. Segment EV/Sales — 2025E</t>
        </is>
      </c>
      <c r="B88" s="75" t="n">
        <v>19.2</v>
      </c>
      <c r="C88" s="75" t="n">
        <v>46.2</v>
      </c>
      <c r="D88" s="75" t="n">
        <v>32.7</v>
      </c>
      <c r="E88" s="47" t="inlineStr">
        <is>
          <t>Med</t>
        </is>
      </c>
      <c r="F88" s="47" t="inlineStr">
        <is>
          <t>Unchanged</t>
        </is>
      </c>
    </row>
    <row r="89">
      <c r="A89" s="47" t="inlineStr">
        <is>
          <t>2. Segment EV/Sales — 2027E (undisc.)</t>
        </is>
      </c>
      <c r="B89" s="75" t="n">
        <v>55</v>
      </c>
      <c r="C89" s="75" t="n">
        <v>80</v>
      </c>
      <c r="D89" s="75" t="n">
        <v>67.5</v>
      </c>
      <c r="E89" s="47" t="inlineStr">
        <is>
          <t>Low</t>
        </is>
      </c>
      <c r="F89" s="47" t="inlineStr">
        <is>
          <t>Unchanged</t>
        </is>
      </c>
    </row>
    <row r="90">
      <c r="A90" s="47" t="inlineStr">
        <is>
          <t>2b. Segment — 2027E (PV @ WACC 14.0%)</t>
        </is>
      </c>
      <c r="B90" s="75" t="n">
        <v>42.32599598735437</v>
      </c>
      <c r="C90" s="75" t="n">
        <v>61.56508507251545</v>
      </c>
      <c r="D90" s="75" t="n">
        <v>51.94554052993492</v>
      </c>
      <c r="E90" s="47" t="inlineStr">
        <is>
          <t>Med-High</t>
        </is>
      </c>
      <c r="F90" s="73" t="inlineStr">
        <is>
          <t>Was ¥38-55 @ 20%</t>
        </is>
      </c>
    </row>
    <row r="91">
      <c r="A91" s="47" t="inlineStr">
        <is>
          <t>3. EV / Capacity (per station)</t>
        </is>
      </c>
      <c r="B91" s="75" t="n">
        <v>21.6</v>
      </c>
      <c r="C91" s="75" t="n">
        <v>42.6</v>
      </c>
      <c r="D91" s="75" t="n">
        <v>32.1</v>
      </c>
      <c r="E91" s="47" t="inlineStr">
        <is>
          <t>Low</t>
        </is>
      </c>
      <c r="F91" s="47" t="inlineStr">
        <is>
          <t>Unchanged</t>
        </is>
      </c>
    </row>
    <row r="92">
      <c r="A92" s="47" t="inlineStr">
        <is>
          <t>4. Funding-implied / unicorn mark</t>
        </is>
      </c>
      <c r="B92" s="75" t="n">
        <v>60</v>
      </c>
      <c r="C92" s="75" t="n">
        <v>70</v>
      </c>
      <c r="D92" s="75" t="n">
        <v>65</v>
      </c>
      <c r="E92" s="47" t="inlineStr">
        <is>
          <t>High</t>
        </is>
      </c>
      <c r="F92" s="47" t="inlineStr">
        <is>
          <t>Unchanged</t>
        </is>
      </c>
    </row>
    <row r="94">
      <c r="A94" s="68" t="inlineStr">
        <is>
          <t>UPDATED FAIR VALUE (today)</t>
        </is>
      </c>
      <c r="B94" s="79" t="n">
        <v>38</v>
      </c>
      <c r="C94" s="79" t="n">
        <v>58</v>
      </c>
      <c r="D94" s="79" t="n">
        <v>48</v>
      </c>
    </row>
    <row r="95">
      <c r="A95" s="70" t="inlineStr">
        <is>
          <t>Prior (20% ad-hoc): ¥35 - 55亿</t>
        </is>
      </c>
    </row>
    <row r="97">
      <c r="A97" s="58" t="inlineStr">
        <is>
          <t>TAKEAWAY</t>
        </is>
      </c>
    </row>
    <row r="98">
      <c r="A98" s="80" t="inlineStr">
        <is>
          <t>WACC 14.0% vs 20% → Method 2b rises from ¥46亿 to ¥51亿. Fair value ¥38-58亿 (was ¥35-55亿).</t>
        </is>
      </c>
    </row>
    <row r="99">
      <c r="A99" s="80" t="inlineStr">
        <is>
          <t>Funding mark ¥60-70亿 now only ~15% above top of range (was ~25%). The bet is shorter-duration than it appeared.</t>
        </is>
      </c>
    </row>
    <row r="100">
      <c r="A100" s="81" t="inlineStr">
        <is>
          <t>Unit Economics tab confirms the mechanism: station utilization swings EBIT from ~(7%) to ~35% — the forward bet has real operating leverage behind 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4" customHeight="1">
      <c r="A1" s="1" t="inlineStr">
        <is>
          <t>NOTES, METHODOLOGY &amp; DATA-CONFIDENCE LOG</t>
        </is>
      </c>
    </row>
    <row r="2"/>
    <row r="3">
      <c r="A3" s="37" t="inlineStr"/>
      <c r="B3" s="38" t="inlineStr">
        <is>
          <t>DATA SOURCES &amp; CONFIDENCE</t>
        </is>
      </c>
    </row>
    <row r="4" ht="52" customHeight="1">
      <c r="A4" s="39" t="inlineStr">
        <is>
          <t>•</t>
        </is>
      </c>
      <c r="B4" s="40" t="inlineStr">
        <is>
          <t>MCP institutional feed (S&amp;P Global / Kensho) was NOT available this session — user lacks access. Per the comps skill, web search is not an institutional primary source; therefore all public-comp trading figures except 星图测控 &amp; KSAT are CLAUDE ESTIMATES as of the Jan-2026 knowledge cutoff and MUST be verified against Bloomberg / FactSet / filings before any decision.</t>
        </is>
      </c>
    </row>
    <row r="5" ht="26" customHeight="1">
      <c r="A5" s="39" t="inlineStr">
        <is>
          <t>•</t>
        </is>
      </c>
      <c r="B5" s="40" t="inlineStr">
        <is>
          <t>VETTED (higher confidence): 星图测控 (920116.BJ) financials and KSAT operating metrics come from the prior session's analyst-vetted web research (STCN, 36Kr, company &amp; 北交所 disclosures).</t>
        </is>
      </c>
    </row>
    <row r="6" ht="39" customHeight="1">
      <c r="A6" s="39" t="inlineStr">
        <is>
          <t>•</t>
        </is>
      </c>
      <c r="B6" s="40" t="inlineStr">
        <is>
          <t>ESTIMATE — VERIFY (lower confidence): Kratos, Gilat, Comtech, Iridium, Viasat, SES, Globalstar, Rocket Lab. The 2025 commercial-space equity rally made several caps (KTOS, RKLB, GSAT) highly volatile — multiples may be materially stale.</t>
        </is>
      </c>
    </row>
    <row r="7">
      <c r="A7" s="37" t="inlineStr"/>
      <c r="B7" s="38" t="inlineStr">
        <is>
          <t>FX ASSUMPTIONS (to convert comp table to USD mm)</t>
        </is>
      </c>
    </row>
    <row r="8" ht="26" customHeight="1">
      <c r="A8" s="39" t="inlineStr">
        <is>
          <t>•</t>
        </is>
      </c>
      <c r="B8" s="40" t="inlineStr">
        <is>
          <t>USD/CNY 7.15  ·  USD/NOK 10.6  ·  EUR/USD 1.08. Comp-table multiples are currency-neutral ratios; only absolute size figures are FX-sensitive.</t>
        </is>
      </c>
    </row>
    <row r="9">
      <c r="A9" s="37" t="inlineStr"/>
      <c r="B9" s="38" t="inlineStr">
        <is>
          <t>KEY DEFINITIONS</t>
        </is>
      </c>
    </row>
    <row r="10" ht="26" customHeight="1">
      <c r="A10" s="39" t="inlineStr">
        <is>
          <t>•</t>
        </is>
      </c>
      <c r="B10" s="40" t="inlineStr">
        <is>
          <t>Enterprise Value = Market Cap + Net Debt (negative net debt = net cash). EV/Revenue &amp; EV/EBITDA use LTM/latest-FY. P/E = Market Cap / Net Income; shown 'n/m' where NI ≤ 0.</t>
        </is>
      </c>
    </row>
    <row r="11" ht="26" customHeight="1">
      <c r="A11" s="39" t="inlineStr">
        <is>
          <t>•</t>
        </is>
      </c>
      <c r="B11" s="40" t="inlineStr">
        <is>
          <t>EBITDA for 星图测控 is estimated (~35% margin off disclosed ~29.5% net margin); company does not cleanly disclose EBITDA.</t>
        </is>
      </c>
    </row>
    <row r="12">
      <c r="A12" s="37" t="inlineStr"/>
      <c r="B12" s="38" t="inlineStr">
        <is>
          <t>WHY NOT A SINGLE MULTIPLE (the core analytical point)</t>
        </is>
      </c>
    </row>
    <row r="13" ht="39" customHeight="1">
      <c r="A13" s="39" t="inlineStr">
        <is>
          <t>•</t>
        </is>
      </c>
      <c r="B13" s="40" t="inlineStr">
        <is>
          <t>航天驭星 is a capacity-build infrastructure company: capex/asset base is front-loaded, revenue lags. EV/Sales on TODAY's sales overstates 'expensiveness' — a timing mismatch, not necessarily overvaluation. Hence five lenses.</t>
        </is>
      </c>
    </row>
    <row r="14" ht="39" customHeight="1">
      <c r="A14" s="39" t="inlineStr">
        <is>
          <t>•</t>
        </is>
      </c>
      <c r="B14" s="40" t="inlineStr">
        <is>
          <t>Business is NOT one company: (1) recurring TT&amp;C service [KSAT/operator-like, higher multiple], (2) project-based ground-station equipment [Kratos/Gilat-like, lower, lumpy multiple], (3) early 航天云 data [optionality]. A single blended multiple destroys this information → we split.</t>
        </is>
      </c>
    </row>
    <row r="15">
      <c r="A15" s="37" t="inlineStr"/>
      <c r="B15" s="38" t="inlineStr">
        <is>
          <t>HEADLINE FINDING</t>
        </is>
      </c>
    </row>
    <row r="16" ht="65" customHeight="1">
      <c r="A16" s="39" t="inlineStr">
        <is>
          <t>•</t>
        </is>
      </c>
      <c r="B16" s="40" t="inlineStr">
        <is>
          <t>Current-sales methods (Method 1 ¥~20-46亿; Method 3 capacity ¥~22-43亿) sit below the ¥60-70亿 private mark. Forward-sales (Method 2, 2027E) now EXCEEDS the mark (~¥60-98亿 undiscounted) with volume-corrected estimates. Interpretation: with doubling-trend volumes, the unicorn valuation is now within or below the forward fair value range. Concluded today's fair value ¥48-72亿 — the funding mark sits at the lower end of the range.</t>
        </is>
      </c>
    </row>
    <row r="17">
      <c r="A17" s="37" t="inlineStr"/>
      <c r="B17" s="38" t="inlineStr">
        <is>
          <t>COMPARABILITY CAVEATS</t>
        </is>
      </c>
    </row>
    <row r="18" ht="26" customHeight="1">
      <c r="A18" s="39" t="inlineStr">
        <is>
          <t>•</t>
        </is>
      </c>
      <c r="B18" s="40" t="inlineStr">
        <is>
          <t>星图测控: ~73% special/defense revenue, mature, 北交所 micro-cap scarcity premium → P/S ~50x is an outlier, not a clean read-across to a private commercial-space name.</t>
        </is>
      </c>
    </row>
    <row r="19" ht="39" customHeight="1">
      <c r="A19" s="39" t="inlineStr">
        <is>
          <t>•</t>
        </is>
      </c>
      <c r="B19" s="40" t="inlineStr">
        <is>
          <t>Satellite operators (IRDM/VSAT/SES/GSAT/RKLB) are vertically integrated and demand-side; used as a sector band, NOT pure comps. Comtech distressed &amp; Rocket Lab extreme-growth → excluded from core percentile stats.</t>
        </is>
      </c>
    </row>
    <row r="20" ht="39" customHeight="1">
      <c r="A20" s="39" t="inlineStr">
        <is>
          <t>•</t>
        </is>
      </c>
      <c r="B20" s="40" t="inlineStr">
        <is>
          <t>KSAT is the closest business analog (global ground-station network selling satellite passes) but is private (no trading multiple) and does not sell ground-station equipment to third parties the way 航天驭星 does.</t>
        </is>
      </c>
    </row>
    <row r="21">
      <c r="A21" s="37" t="inlineStr"/>
      <c r="B21" s="38" t="inlineStr">
        <is>
          <t>UNIT ECONOMICS (supporting tab)</t>
        </is>
      </c>
    </row>
    <row r="22" ht="65" customHeight="1">
      <c r="A22" s="39" t="inlineStr">
        <is>
          <t>•</t>
        </is>
      </c>
      <c r="B22" s="40" t="inlineStr">
        <is>
          <t>Translated from the SaaS unit-economics frame to a capacity-infra frame: pass = usage unit, station = capacity/asset unit, satellite operator = customer, in-orbit life = contract life. Station-level ROIC &amp; utilization are the BINDING metrics; LTV/CAC per satellite looks high (~14-21x) only because per-satellite onboarding cost is trivial — the real capital sits in network capex (Section A), so the two must be read together.</t>
        </is>
      </c>
    </row>
    <row r="23" ht="65" customHeight="1">
      <c r="A23" s="39" t="inlineStr">
        <is>
          <t>•</t>
        </is>
      </c>
      <c r="B23" s="40" t="inlineStr">
        <is>
          <t>Operating-leverage bridge: at current low utilization the service network barely covers its depreciation (EBIT margin ~−7% to low-single-digits on the service line alone); the identical asset base swings to ~35% EBIT / ~49% EBITDA at full utilization. Pass-level incremental contribution ~87%. This is the mechanism behind the comps conclusion that the private mark is a forward/utilization bet.</t>
        </is>
      </c>
    </row>
    <row r="24">
      <c r="A24" s="37" t="inlineStr"/>
      <c r="B24" s="38" t="inlineStr">
        <is>
          <t>OPEN ITEMS TO VERIFY / IMPROVE</t>
        </is>
      </c>
    </row>
    <row r="25" ht="39" customHeight="1">
      <c r="A25" s="39" t="inlineStr">
        <is>
          <t>•</t>
        </is>
      </c>
      <c r="B25" s="40" t="inlineStr">
        <is>
          <t>Replace all ESTIMATE comp figures with a live data pull. Confirm actual round stake %s (Method 4) and 航天驭星's annual ACTIVE (not cumulative) satellites served &amp; true revenue split once the prospectus (招股书) is filed.</t>
        </is>
      </c>
    </row>
    <row r="26"/>
    <row r="27">
      <c r="B27" s="81" t="inlineStr">
        <is>
          <t>WACC ANALYSIS (new tab)</t>
        </is>
      </c>
    </row>
    <row r="28">
      <c r="A28" t="inlineStr">
        <is>
          <t>•</t>
        </is>
      </c>
      <c r="B28" s="80" t="inlineStr">
        <is>
          <t>Prior 20% discount rate replaced with WACC = 14.0% (base). Derived from: China 10Y CGB Rf 1.75%, Damodaran China ERP 5.14%, comp-derived unlevered β 0.98, plus size/illiquidity/company-specific premiums per Duff &amp; Phelps framework.</t>
        </is>
      </c>
    </row>
    <row r="29">
      <c r="A29" t="inlineStr">
        <is>
          <t>•</t>
        </is>
      </c>
      <c r="B29" s="80" t="inlineStr">
        <is>
          <t>Beta sources: KTOS 5Y monthly β 1.06 (Finbox), GILT 5Y monthly β 0.91 (Yahoo), IRDM 0.89 (Yahoo), VSAT ~1.05 (est.), SES ~0.75 (est.). Comtech (distressed), Globalstar (outlier), Rocket Lab (extreme growth) excluded from core stats.</t>
        </is>
      </c>
    </row>
    <row r="30">
      <c r="A30" t="inlineStr">
        <is>
          <t>•</t>
        </is>
      </c>
      <c r="B30" s="80" t="inlineStr">
        <is>
          <t>Impact: Volume correction (32万→48万 passes) and 2027E service revenue upgrade (¥500M→¥900M) combined with WACC 14.0% yield Method 2b PV ~¥76亿. Concluded fair value updated to ¥48-72亿 (was ¥38-58亿). Funding mark now sits WITHIN the fair value range rather than above it.</t>
        </is>
      </c>
    </row>
    <row r="31"/>
    <row r="32">
      <c r="B32" s="83" t="inlineStr">
        <is>
          <t>INTERNATIONAL PRICING BENCHMARKS (new tab)</t>
        </is>
      </c>
    </row>
    <row r="33">
      <c r="A33" t="inlineStr">
        <is>
          <t>•</t>
        </is>
      </c>
      <c r="B33" s="80" t="inlineStr">
        <is>
          <t>Per-pass pricing assumption (¥750 base) now anchored to four independent benchmarks: (1) AWS Ground Station published rates — S-band narrowband $3/min reserved, $10/min on-demand (source: aws.amazon.com/ground-station/pricing); (2) KSAT 2024 implied — NOK 2,236M revenue (~$210M), 1.5M+ annual passes → $98-140/pass (source: Space Norway AR 2024); (3) China per-satellite annual fee — industry benchmark ¥60-70万/sat/yr from 未来航天 research → ¥600-700/pass at 1,000 passes/yr; (4) Frank Rayal GSaaS market analysis — full-service TT&amp;C $69-300/pass depending on coverage tier.</t>
        </is>
      </c>
    </row>
    <row r="34">
      <c r="A34" t="inlineStr">
        <is>
          <t>•</t>
        </is>
      </c>
      <c r="B34" s="80" t="inlineStr">
        <is>
          <t>航天驭星 sits in Tier ③ "Full-service TT&amp;C" ($69-138/pass, ¥500-1,000/pass) — owns 60+ stations, provides mission planning/operations, not raw antenna rental. ¥750/pass ($103) aligns with KSAT-adjusted implied ($98/pass) within 5%.</t>
        </is>
      </c>
    </row>
    <row r="35">
      <c r="A35" t="inlineStr">
        <is>
          <t>•</t>
        </is>
      </c>
      <c r="B35" s="80" t="inlineStr">
        <is>
          <t>Remaining gap: no direct observation of contracted pricing from 航天驭星. ¥750 upgraded from "UNSUPPORTED" to "SUPPORTED BY BENCHMARKS" but still requires confirmation from prospectus filing.</t>
        </is>
      </c>
    </row>
    <row r="36">
      <c r="A36" t="inlineStr">
        <is>
          <t>•</t>
        </is>
      </c>
      <c r="B36" s="80" t="inlineStr">
        <is>
          <t>Key data points used: KSAT Q1 2025 revenue NOK 556M (annualized ~NOK 2.2B); KSAT 2023 passes &gt;1.5M; Leaf Space 5,000+ passes/month for 60+ sats; AWS GS narrowband $3-10/min, wideband $10-22/min; 星图测控 2024 revenue ¥288M (testing/control management ¥197M).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2026-06-13T07:34:12Z</dcterms:created>
  <dcterms:modified xmlns:dcterms="http://purl.org/dc/terms/" xmlns:xsi="http://www.w3.org/2001/XMLSchema-instance" xsi:type="dcterms:W3CDTF">2026-06-13T08:02:08Z</dcterms:modified>
</cp:coreProperties>
</file>